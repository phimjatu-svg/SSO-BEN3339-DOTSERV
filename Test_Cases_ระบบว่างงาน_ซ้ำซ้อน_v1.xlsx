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สูตร &amp; กติกาอ้างอิ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b val="1"/>
      <sz val="9"/>
    </font>
    <font>
      <name val="Tahoma"/>
      <sz val="9"/>
    </font>
    <font>
      <name val="Tahoma"/>
      <b val="1"/>
      <color rgb="00FFFFFF"/>
      <sz val="9.5"/>
    </font>
    <font>
      <name val="Tahoma"/>
      <b val="1"/>
      <color rgb="001F3864"/>
      <sz val="9"/>
    </font>
    <font>
      <name val="Tahoma"/>
      <color rgb="00000000"/>
      <sz val="9"/>
    </font>
    <font>
      <name val="Tahoma"/>
      <b val="1"/>
      <sz val="10"/>
    </font>
    <font>
      <name val="Tahoma"/>
      <b val="1"/>
      <color rgb="00C00000"/>
      <sz val="9"/>
    </font>
    <font>
      <name val="Tahoma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34" customWidth="1" min="4" max="4"/>
    <col width="26" customWidth="1" min="5" max="5"/>
    <col width="46" customWidth="1" min="6" max="6"/>
    <col width="16" customWidth="1" min="7" max="7"/>
    <col width="11" customWidth="1" min="8" max="8"/>
    <col width="18" customWidth="1" min="9" max="9"/>
  </cols>
  <sheetData>
    <row r="1" ht="30" customHeight="1">
      <c r="A1" s="1" t="inlineStr">
        <is>
          <t>แผนการทดสอบ (Test Cases) — ระบบวินิจฉัยประโยชน์ทดแทนกรณีว่างงาน : ความซ้ำซ้อน / โควตา / ตารางงวด</t>
        </is>
      </c>
    </row>
    <row r="2" ht="26" customHeight="1">
      <c r="A2" s="2" t="inlineStr">
        <is>
          <t>ระบบ/หน้าจอ</t>
        </is>
      </c>
      <c r="B2" s="3" t="inlineStr">
        <is>
          <t>วินิจฉัยประโยชน์ทดแทน กรณีว่างงาน (A050082) — เครื่องมือจำลอง</t>
        </is>
      </c>
      <c r="C2" s="4" t="n"/>
      <c r="D2" s="4" t="n"/>
      <c r="E2" s="2" t="inlineStr">
        <is>
          <t>อ้างอิงสูตร</t>
        </is>
      </c>
      <c r="F2" s="3" t="inlineStr">
        <is>
          <t>มาตรา 57 · เพดาน 17,500 (1 ม.ค.2569) · เลิกจ้าง 60% / ลาออก 30% · ปัดลง 0.05</t>
        </is>
      </c>
      <c r="G2" s="4" t="n"/>
      <c r="H2" s="4" t="n"/>
      <c r="I2" s="4" t="n"/>
    </row>
    <row r="3" ht="26" customHeight="1">
      <c r="A3" s="2" t="inlineStr">
        <is>
          <t>ผู้จัดทำ</t>
        </is>
      </c>
      <c r="B3" s="3" t="inlineStr">
        <is>
          <t>BA</t>
        </is>
      </c>
      <c r="C3" s="4" t="n"/>
      <c r="D3" s="4" t="n"/>
      <c r="E3" s="2" t="inlineStr">
        <is>
          <t>ผู้ทดสอบ (Tester)</t>
        </is>
      </c>
      <c r="F3" s="3" t="inlineStr">
        <is>
          <t>____________________</t>
        </is>
      </c>
      <c r="G3" s="4" t="n"/>
      <c r="H3" s="4" t="n"/>
      <c r="I3" s="4" t="n"/>
    </row>
    <row r="4" ht="26" customHeight="1">
      <c r="A4" s="2" t="inlineStr">
        <is>
          <t>เวอร์ชัน</t>
        </is>
      </c>
      <c r="B4" s="3" t="inlineStr">
        <is>
          <t>v1.0</t>
        </is>
      </c>
      <c r="C4" s="4" t="n"/>
      <c r="D4" s="4" t="n"/>
      <c r="E4" s="2" t="inlineStr">
        <is>
          <t>วันที่ทดสอบ</t>
        </is>
      </c>
      <c r="F4" s="3" t="inlineStr">
        <is>
          <t>____________________</t>
        </is>
      </c>
      <c r="G4" s="4" t="n"/>
      <c r="H4" s="4" t="n"/>
      <c r="I4" s="4" t="n"/>
    </row>
    <row r="5" ht="30" customHeight="1">
      <c r="A5" s="5" t="inlineStr">
        <is>
          <t>TC ID</t>
        </is>
      </c>
      <c r="B5" s="5" t="inlineStr">
        <is>
          <t>กลุ่ม</t>
        </is>
      </c>
      <c r="C5" s="5" t="inlineStr">
        <is>
          <t>ชื่อเคส / วัตถุประสงค์</t>
        </is>
      </c>
      <c r="D5" s="5" t="inlineStr">
        <is>
          <t>เงื่อนไขนำเข้า (Input)</t>
        </is>
      </c>
      <c r="E5" s="5" t="inlineStr">
        <is>
          <t>ขั้นตอนทดสอบ</t>
        </is>
      </c>
      <c r="F5" s="5" t="inlineStr">
        <is>
          <t>ผลที่คาดหวัง (Expected)</t>
        </is>
      </c>
      <c r="G5" s="5" t="inlineStr">
        <is>
          <t>ผลที่ได้จริง</t>
        </is>
      </c>
      <c r="H5" s="5" t="inlineStr">
        <is>
          <t>สถานะ</t>
        </is>
      </c>
      <c r="I5" s="5" t="inlineStr">
        <is>
          <t>หมายเหตุ</t>
        </is>
      </c>
    </row>
    <row r="6" ht="44" customHeight="1">
      <c r="A6" s="6" t="inlineStr">
        <is>
          <t>TC-01</t>
        </is>
      </c>
      <c r="B6" s="7" t="inlineStr">
        <is>
          <t>มาตรา 57</t>
        </is>
      </c>
      <c r="C6" s="7" t="inlineStr">
        <is>
          <t>คำนวณค่าจ้างรายวันเต็มเพดาน</t>
        </is>
      </c>
      <c r="D6" s="7" t="inlineStr">
        <is>
          <t>ค่าจ้าง 3 เดือน = 17,500 / 17,500 / 17,500</t>
        </is>
      </c>
      <c r="E6" s="7" t="inlineStr">
        <is>
          <t>ดูช่อง “ค่าจ้างรายวัน (ม.57)” ในคำขอ</t>
        </is>
      </c>
      <c r="F6" s="7">
        <f> ฿583.30  [(17,500×3)/90 = 583.333 ปัดลง 0.05 = 583.30]</f>
        <v/>
      </c>
      <c r="G6" s="7" t="inlineStr"/>
      <c r="H6" s="8" t="inlineStr"/>
      <c r="I6" s="7" t="inlineStr"/>
    </row>
    <row r="7" ht="30" customHeight="1">
      <c r="A7" s="9" t="inlineStr">
        <is>
          <t>TC-02</t>
        </is>
      </c>
      <c r="B7" s="10" t="inlineStr">
        <is>
          <t>มาตรา 57</t>
        </is>
      </c>
      <c r="C7" s="10" t="inlineStr">
        <is>
          <t>เพดานค่าจ้าง 17,500</t>
        </is>
      </c>
      <c r="D7" s="10" t="inlineStr">
        <is>
          <t>ใส่ค่าจ้าง 20,000 / 20,000 / 20,000</t>
        </is>
      </c>
      <c r="E7" s="10" t="inlineStr">
        <is>
          <t>ดูค่าจ้างรายวัน</t>
        </is>
      </c>
      <c r="F7" s="10">
        <f> ฿583.30 (ระบบตัดเพดานที่ 17,500/เดือน)</f>
        <v/>
      </c>
      <c r="G7" s="10" t="inlineStr"/>
      <c r="H7" s="11" t="inlineStr"/>
      <c r="I7" s="10" t="inlineStr"/>
    </row>
    <row r="8" ht="44" customHeight="1">
      <c r="A8" s="6" t="inlineStr">
        <is>
          <t>TC-03</t>
        </is>
      </c>
      <c r="B8" s="7" t="inlineStr">
        <is>
          <t>มาตรา 57</t>
        </is>
      </c>
      <c r="C8" s="7" t="inlineStr">
        <is>
          <t>ค่าจ้างต่ำกว่าเพดาน/ไม่เท่ากัน</t>
        </is>
      </c>
      <c r="D8" s="7" t="inlineStr">
        <is>
          <t>ค่าจ้าง 12,000 / 15,000 / 9,000</t>
        </is>
      </c>
      <c r="E8" s="7" t="inlineStr">
        <is>
          <t>ดูค่าจ้างรายวัน</t>
        </is>
      </c>
      <c r="F8" s="7">
        <f> ฿400.00  [(12,000+15,000+9,000)/90 = 400]</f>
        <v/>
      </c>
      <c r="G8" s="7" t="inlineStr"/>
      <c r="H8" s="8" t="inlineStr"/>
      <c r="I8" s="7" t="inlineStr"/>
    </row>
    <row r="9" ht="44" customHeight="1">
      <c r="A9" s="9" t="inlineStr">
        <is>
          <t>TC-04</t>
        </is>
      </c>
      <c r="B9" s="10" t="inlineStr">
        <is>
          <t>อัตรา</t>
        </is>
      </c>
      <c r="C9" s="10" t="inlineStr">
        <is>
          <t>เลิกจ้าง 60% ต่อวัน</t>
        </is>
      </c>
      <c r="D9" s="10" t="inlineStr">
        <is>
          <t>ประเภท = เลิกจ้าง, ค่าจ้างเต็มเพดาน</t>
        </is>
      </c>
      <c r="E9" s="10" t="inlineStr">
        <is>
          <t>ดู “รับวันละ (60%)”</t>
        </is>
      </c>
      <c r="F9" s="10">
        <f> ฿349.95  (583.30×0.60 = 349.98 ปัดลง 349.95)</f>
        <v/>
      </c>
      <c r="G9" s="10" t="inlineStr"/>
      <c r="H9" s="11" t="inlineStr"/>
      <c r="I9" s="10" t="inlineStr"/>
    </row>
    <row r="10" ht="44" customHeight="1">
      <c r="A10" s="6" t="inlineStr">
        <is>
          <t>TC-05</t>
        </is>
      </c>
      <c r="B10" s="7" t="inlineStr">
        <is>
          <t>อัตรา</t>
        </is>
      </c>
      <c r="C10" s="7" t="inlineStr">
        <is>
          <t>ลาออก 30% ต่อวัน</t>
        </is>
      </c>
      <c r="D10" s="7" t="inlineStr">
        <is>
          <t>ประเภท = ลาออก, ค่าจ้างเต็มเพดาน</t>
        </is>
      </c>
      <c r="E10" s="7" t="inlineStr">
        <is>
          <t>ดู “รับวันละ (30%)”</t>
        </is>
      </c>
      <c r="F10" s="7">
        <f> ฿174.95  (583.30×0.30 = 174.99 ปัดลง 174.95)</f>
        <v/>
      </c>
      <c r="G10" s="7" t="inlineStr"/>
      <c r="H10" s="8" t="inlineStr"/>
      <c r="I10" s="7" t="inlineStr"/>
    </row>
    <row r="11" ht="44" customHeight="1">
      <c r="A11" s="9" t="inlineStr">
        <is>
          <t>TC-06</t>
        </is>
      </c>
      <c r="B11" s="10" t="inlineStr">
        <is>
          <t>ปัดเศษ</t>
        </is>
      </c>
      <c r="C11" s="10" t="inlineStr">
        <is>
          <t>ปัดลงเป็นพหุคูณ 0.05</t>
        </is>
      </c>
      <c r="D11" s="10" t="inlineStr">
        <is>
          <t>สังเกตค่าจาก TC-01/TC-05</t>
        </is>
      </c>
      <c r="E11" s="10" t="inlineStr">
        <is>
          <t>-</t>
        </is>
      </c>
      <c r="F11" s="10" t="inlineStr">
        <is>
          <t>174.99→174.95 ; 583.333→583.30 (เศษ 0.00–0.04→.00, 0.05–0.09→.05)</t>
        </is>
      </c>
      <c r="G11" s="10" t="inlineStr"/>
      <c r="H11" s="11" t="inlineStr"/>
      <c r="I11" s="10" t="inlineStr"/>
    </row>
    <row r="12" ht="44" customHeight="1">
      <c r="A12" s="6" t="inlineStr">
        <is>
          <t>TC-07</t>
        </is>
      </c>
      <c r="B12" s="7" t="inlineStr">
        <is>
          <t>ปัดเศษ</t>
        </is>
      </c>
      <c r="C12" s="7" t="inlineStr">
        <is>
          <t>ป้องกัน floating-point</t>
        </is>
      </c>
      <c r="D12" s="7" t="inlineStr">
        <is>
          <t>ลาออก 30%, จ่ายจริง 90 วัน</t>
        </is>
      </c>
      <c r="E12" s="7" t="inlineStr">
        <is>
          <t>ดู “เป็นเงิน”</t>
        </is>
      </c>
      <c r="F12" s="7">
        <f> ฿15,745.50  (174.95×90 ต้องเป็น .50 ไม่ใช่ .45)</f>
        <v/>
      </c>
      <c r="G12" s="7" t="inlineStr"/>
      <c r="H12" s="8" t="inlineStr"/>
      <c r="I12" s="7" t="inlineStr"/>
    </row>
    <row r="13" ht="44" customHeight="1">
      <c r="A13" s="9" t="inlineStr">
        <is>
          <t>TC-08</t>
        </is>
      </c>
      <c r="B13" s="10" t="inlineStr">
        <is>
          <t>ซ้ำซ้อน</t>
        </is>
      </c>
      <c r="C13" s="10" t="inlineStr">
        <is>
          <t>ไม่พบการซ้ำซ้อน (ช่วงไม่ทับ)</t>
        </is>
      </c>
      <c r="D13" s="10" t="inlineStr">
        <is>
          <t>ค่าตั้งต้น: A จ่ายถึง 04/05, B 18/05–15/08</t>
        </is>
      </c>
      <c r="E13" s="10" t="inlineStr">
        <is>
          <t>ดูการ์ดสรุป</t>
        </is>
      </c>
      <c r="F13" s="10" t="inlineStr">
        <is>
          <t>“สถานะความซ้ำซ้อน: ไม่พบการซ้ำซ้อน” (เขียว) · ยอดเรียกคืน ฿0.00</t>
        </is>
      </c>
      <c r="G13" s="10" t="inlineStr"/>
      <c r="H13" s="11" t="inlineStr"/>
      <c r="I13" s="10" t="inlineStr"/>
    </row>
    <row r="14" ht="44" customHeight="1">
      <c r="A14" s="6" t="inlineStr">
        <is>
          <t>TC-09</t>
        </is>
      </c>
      <c r="B14" s="7" t="inlineStr">
        <is>
          <t>ซ้ำซ้อน</t>
        </is>
      </c>
      <c r="C14" s="7" t="inlineStr">
        <is>
          <t>พบการซ้ำซ้อนจริง</t>
        </is>
      </c>
      <c r="D14" s="7" t="inlineStr">
        <is>
          <t>A งวด 10/01–08/02 (ขึ้นทะเบียนก่อน), B งวด 01/02–20/02</t>
        </is>
      </c>
      <c r="E14" s="7" t="inlineStr">
        <is>
          <t>ดูการ์ดสรุป + แถบแดง</t>
        </is>
      </c>
      <c r="F14" s="7" t="inlineStr">
        <is>
          <t>“ช่วงสิทธิที่ซ้ำซ้อน 8 วัน” (1–8 ก.พ.) · เรียกคืน ฿1,399.60 (8×174.95)</t>
        </is>
      </c>
      <c r="G14" s="7" t="inlineStr"/>
      <c r="H14" s="8" t="inlineStr"/>
      <c r="I14" s="7" t="inlineStr"/>
    </row>
    <row r="15" ht="44" customHeight="1">
      <c r="A15" s="9" t="inlineStr">
        <is>
          <t>TC-10</t>
        </is>
      </c>
      <c r="B15" s="10" t="inlineStr">
        <is>
          <t>ซ้ำซ้อน</t>
        </is>
      </c>
      <c r="C15" s="10" t="inlineStr">
        <is>
          <t>ทับซ้อน 3 คำขอ (นับ union)</t>
        </is>
      </c>
      <c r="D15" s="10" t="inlineStr">
        <is>
          <t>A 05/01–05/02, B 20/01–20/02, C 01/02–01/03</t>
        </is>
      </c>
      <c r="E15" s="10" t="inlineStr">
        <is>
          <t>ดูช่วงซ้ำซ้อน</t>
        </is>
      </c>
      <c r="F15" s="10">
        <f> 32 วัน (20/01–20/02 รวมเป็นช่วงเดียว ไม่นับซ้ำ)</f>
        <v/>
      </c>
      <c r="G15" s="10" t="inlineStr"/>
      <c r="H15" s="11" t="inlineStr"/>
      <c r="I15" s="10" t="inlineStr"/>
    </row>
    <row r="16" ht="44" customHeight="1">
      <c r="A16" s="6" t="inlineStr">
        <is>
          <t>TC-11</t>
        </is>
      </c>
      <c r="B16" s="7" t="inlineStr">
        <is>
          <t>โควตา</t>
        </is>
      </c>
      <c r="C16" s="7" t="inlineStr">
        <is>
          <t>ลาออกล้วน cap 90/ปี</t>
        </is>
      </c>
      <c r="D16" s="7" t="inlineStr">
        <is>
          <t>ค่าตั้งต้น A=27 วัน + B สิทธิเต็ม 90</t>
        </is>
      </c>
      <c r="E16" s="7" t="inlineStr">
        <is>
          <t>ดู B “จ่ายจริง” + การ์ดโควตา</t>
        </is>
      </c>
      <c r="F16" s="7" t="inlineStr">
        <is>
          <t>B ตัดเหลือ 63 วัน (90−27) · โควตาปี 2569 = 90/90 (เต็ม)</t>
        </is>
      </c>
      <c r="G16" s="7" t="inlineStr"/>
      <c r="H16" s="8" t="inlineStr"/>
      <c r="I16" s="7" t="inlineStr"/>
    </row>
    <row r="17" ht="44" customHeight="1">
      <c r="A17" s="9" t="inlineStr">
        <is>
          <t>TC-12</t>
        </is>
      </c>
      <c r="B17" s="10" t="inlineStr">
        <is>
          <t>โควตา</t>
        </is>
      </c>
      <c r="C17" s="10" t="inlineStr">
        <is>
          <t>วันใช้สิทธิสะสมก่อนหน้า</t>
        </is>
      </c>
      <c r="D17" s="10" t="inlineStr">
        <is>
          <t>ค่าตั้งต้น + ตั้ง “วันใช้สิทธิสะสมก่อนหน้า” = 27</t>
        </is>
      </c>
      <c r="E17" s="10" t="inlineStr">
        <is>
          <t>ดู B จ่ายจริง</t>
        </is>
      </c>
      <c r="F17" s="10" t="inlineStr">
        <is>
          <t>B = 36 วัน = ฿6,298.20 (90−27 สะสม−27 ของ A) — ตรงระบบจริง</t>
        </is>
      </c>
      <c r="G17" s="10" t="inlineStr"/>
      <c r="H17" s="11" t="inlineStr"/>
      <c r="I17" s="10" t="inlineStr"/>
    </row>
    <row r="18" ht="44" customHeight="1">
      <c r="A18" s="6" t="inlineStr">
        <is>
          <t>TC-13</t>
        </is>
      </c>
      <c r="B18" s="7" t="inlineStr">
        <is>
          <t>โควตา</t>
        </is>
      </c>
      <c r="C18" s="7" t="inlineStr">
        <is>
          <t>เลิกจ้าง cap 180/ปี</t>
        </is>
      </c>
      <c r="D18" s="7" t="inlineStr">
        <is>
          <t>1 คำขอ เลิกจ้าง, งวด 01/01–31/12, สิทธิเต็ม 180</t>
        </is>
      </c>
      <c r="E18" s="7" t="inlineStr">
        <is>
          <t>ดูจ่ายจริง</t>
        </is>
      </c>
      <c r="F18" s="7">
        <f> 180 วัน = ฿62,991.00 (ตัดที่ 180)</f>
        <v/>
      </c>
      <c r="G18" s="7" t="inlineStr"/>
      <c r="H18" s="8" t="inlineStr"/>
      <c r="I18" s="7" t="inlineStr"/>
    </row>
    <row r="19" ht="44" customHeight="1">
      <c r="A19" s="9" t="inlineStr">
        <is>
          <t>TC-14</t>
        </is>
      </c>
      <c r="B19" s="10" t="inlineStr">
        <is>
          <t>โควตา</t>
        </is>
      </c>
      <c r="C19" s="10" t="inlineStr">
        <is>
          <t>ผสม เลิกจ้าง+ลาออก = 180</t>
        </is>
      </c>
      <c r="D19" s="10" t="inlineStr">
        <is>
          <t>คำขอ R 90 วัน + คำขอ L 275 วัน (ปีเดียวกัน)</t>
        </is>
      </c>
      <c r="E19" s="10" t="inlineStr">
        <is>
          <t>ดูโควตา + จ่ายจริง</t>
        </is>
      </c>
      <c r="F19" s="10" t="inlineStr">
        <is>
          <t>cap รวม = 180 · R=90, L=90 (ส่วนที่เหลือ) · โควตา 180/180</t>
        </is>
      </c>
      <c r="G19" s="10" t="inlineStr"/>
      <c r="H19" s="11" t="inlineStr"/>
      <c r="I19" s="10" t="inlineStr"/>
    </row>
    <row r="20" ht="44" customHeight="1">
      <c r="A20" s="6" t="inlineStr">
        <is>
          <t>TC-15</t>
        </is>
      </c>
      <c r="B20" s="7" t="inlineStr">
        <is>
          <t>โควตา</t>
        </is>
      </c>
      <c r="C20" s="7" t="inlineStr">
        <is>
          <t>แยกตามปีปฏิทิน (ข้ามปี)</t>
        </is>
      </c>
      <c r="D20" s="7" t="inlineStr">
        <is>
          <t>งวด 20/12/2569–10/01/2570 (เลิกจ้าง)</t>
        </is>
      </c>
      <c r="E20" s="7" t="inlineStr">
        <is>
          <t>ดูโควตารายปี</t>
        </is>
      </c>
      <c r="F20" s="7" t="inlineStr">
        <is>
          <t>ปี 2569 ใช้ 12 วัน, ปี 2570 ใช้ 10 วัน (แยกนับคนละปี)</t>
        </is>
      </c>
      <c r="G20" s="7" t="inlineStr"/>
      <c r="H20" s="8" t="inlineStr"/>
      <c r="I20" s="7" t="inlineStr"/>
    </row>
    <row r="21" ht="44" customHeight="1">
      <c r="A21" s="9" t="inlineStr">
        <is>
          <t>TC-16</t>
        </is>
      </c>
      <c r="B21" s="10" t="inlineStr">
        <is>
          <t>รายงานตัว</t>
        </is>
      </c>
      <c r="C21" s="10" t="inlineStr">
        <is>
          <t>งวดไม่รายงานตัว = ไม่ตัดโควตา</t>
        </is>
      </c>
      <c r="D21" s="10" t="inlineStr">
        <is>
          <t>A งวด1 ติ๊กรายงานตัว, งวด2 ไม่ติ๊ก</t>
        </is>
      </c>
      <c r="E21" s="10" t="inlineStr">
        <is>
          <t>ดูจ่ายจริง + ซ้ำซ้อน + timeline</t>
        </is>
      </c>
      <c r="F21" s="10" t="inlineStr">
        <is>
          <t>นับเฉพาะงวดที่ติ๊ก · งวดไม่ติ๊กไม่นับวัน ไม่เข้าซ้ำซ้อน แสดงเป็นกรอบเส้นประ</t>
        </is>
      </c>
      <c r="G21" s="10" t="inlineStr"/>
      <c r="H21" s="11" t="inlineStr"/>
      <c r="I21" s="10" t="inlineStr"/>
    </row>
    <row r="22" ht="44" customHeight="1">
      <c r="A22" s="6" t="inlineStr">
        <is>
          <t>TC-17</t>
        </is>
      </c>
      <c r="B22" s="7" t="inlineStr">
        <is>
          <t>กลับเข้าทำงาน</t>
        </is>
      </c>
      <c r="C22" s="7" t="inlineStr">
        <is>
          <t>ตัดจ่ายกลางงวด</t>
        </is>
      </c>
      <c r="D22" s="7" t="inlineStr">
        <is>
          <t>งวด 01/05–30/06, วันกลับเข้าทำงาน 05/05</t>
        </is>
      </c>
      <c r="E22" s="7" t="inlineStr">
        <is>
          <t>ดูป้ายท้ายงวด</t>
        </is>
      </c>
      <c r="F22" s="7" t="inlineStr">
        <is>
          <t>“(4 วัน · ตัดที่กลับเข้าทำงาน)” — จ่ายถึง 04/05 เท่านั้น</t>
        </is>
      </c>
      <c r="G22" s="7" t="inlineStr"/>
      <c r="H22" s="8" t="inlineStr"/>
      <c r="I22" s="7" t="inlineStr"/>
    </row>
    <row r="23" ht="44" customHeight="1">
      <c r="A23" s="9" t="inlineStr">
        <is>
          <t>TC-18</t>
        </is>
      </c>
      <c r="B23" s="10" t="inlineStr">
        <is>
          <t>กลับเข้าทำงาน</t>
        </is>
      </c>
      <c r="C23" s="10" t="inlineStr">
        <is>
          <t>เริ่มงวด = วันกลับเข้าทำงาน</t>
        </is>
      </c>
      <c r="D23" s="10" t="inlineStr">
        <is>
          <t>งวด 05/05–30/06, วันกลับเข้าทำงาน 05/05</t>
        </is>
      </c>
      <c r="E23" s="10" t="inlineStr">
        <is>
          <t>ดูป้ายท้ายงวด</t>
        </is>
      </c>
      <c r="F23" s="10" t="inlineStr">
        <is>
          <t>“(0 วัน · กลับเข้าทำงานแล้ว)” สีส้ม — ไม่บวกยอด (เคสที่เคยเข้าใจผิดว่าไม่อัปเดต)</t>
        </is>
      </c>
      <c r="G23" s="10" t="inlineStr"/>
      <c r="H23" s="11" t="inlineStr"/>
      <c r="I23" s="10" t="inlineStr"/>
    </row>
    <row r="24" ht="44" customHeight="1">
      <c r="A24" s="6" t="inlineStr">
        <is>
          <t>TC-19</t>
        </is>
      </c>
      <c r="B24" s="7" t="inlineStr">
        <is>
          <t>ตรวจสอบข้อมูล</t>
        </is>
      </c>
      <c r="C24" s="7" t="inlineStr">
        <is>
          <t>วันสิ้นสุดก่อนวันเริ่ม</t>
        </is>
      </c>
      <c r="D24" s="7" t="inlineStr">
        <is>
          <t>งวด 10/03–01/03</t>
        </is>
      </c>
      <c r="E24" s="7" t="inlineStr">
        <is>
          <t>ดูป้ายท้ายงวด</t>
        </is>
      </c>
      <c r="F24" s="7" t="inlineStr">
        <is>
          <t>“(วันสิ้นสุดก่อนวันเริ่ม)” สีแดง — ไม่นับวัน ไม่พังการคำนวณ</t>
        </is>
      </c>
      <c r="G24" s="7" t="inlineStr"/>
      <c r="H24" s="8" t="inlineStr"/>
      <c r="I24" s="7" t="inlineStr"/>
    </row>
    <row r="25" ht="72" customHeight="1">
      <c r="A25" s="9" t="inlineStr">
        <is>
          <t>TC-20</t>
        </is>
      </c>
      <c r="B25" s="10" t="inlineStr">
        <is>
          <t>ตารางงวด</t>
        </is>
      </c>
      <c r="C25" s="10" t="inlineStr">
        <is>
          <t>สร้างตารางครบสิทธิ (เคสจริง)</t>
        </is>
      </c>
      <c r="D25" s="10" t="inlineStr">
        <is>
          <t>ค่าตั้งต้น คำขอ A → กด “ดูตารางงวด”</t>
        </is>
      </c>
      <c r="E25" s="10" t="inlineStr">
        <is>
          <t>ตรวจตารางที่ระบบ gen</t>
        </is>
      </c>
      <c r="F25" s="10" t="inlineStr">
        <is>
          <t>งวด1 นัด 06/04 ช่วง 08/04–30/04 (23 วัน) ปกติ; งวด2 นัด 06/05 ช่วง 01/05–04/05 (4) ปกติ; งวด3 นัด 06/06 “รอรายงานตัว” (—); รวม 4 งวด</t>
        </is>
      </c>
      <c r="G25" s="10" t="inlineStr"/>
      <c r="H25" s="11" t="inlineStr"/>
      <c r="I25" s="10" t="inlineStr"/>
    </row>
    <row r="26" ht="44" customHeight="1">
      <c r="A26" s="6" t="inlineStr">
        <is>
          <t>TC-21</t>
        </is>
      </c>
      <c r="B26" s="7" t="inlineStr">
        <is>
          <t>ตารางงวด</t>
        </is>
      </c>
      <c r="C26" s="7" t="inlineStr">
        <is>
          <t>เดือน ก.พ./ปีอธิกสุรทิน</t>
        </is>
      </c>
      <c r="D26" s="7" t="inlineStr">
        <is>
          <t>เกิดสิทธิ 10/02/2571 (ค.ศ.2028), สิทธิเต็ม 30</t>
        </is>
      </c>
      <c r="E26" s="7" t="inlineStr">
        <is>
          <t>กด “ดูตารางงวด”</t>
        </is>
      </c>
      <c r="F26" s="7" t="inlineStr">
        <is>
          <t>งวด1 10–29 ก.พ. (20 วัน, ก.พ.มี 29), งวด2 01–10 มี.ค. (10 วัน)</t>
        </is>
      </c>
      <c r="G26" s="7" t="inlineStr"/>
      <c r="H26" s="8" t="inlineStr"/>
      <c r="I26" s="7" t="inlineStr"/>
    </row>
    <row r="27" ht="44" customHeight="1">
      <c r="A27" s="9" t="inlineStr">
        <is>
          <t>TC-22</t>
        </is>
      </c>
      <c r="B27" s="10" t="inlineStr">
        <is>
          <t>ตารางงวด</t>
        </is>
      </c>
      <c r="C27" s="10" t="inlineStr">
        <is>
          <t>ยังไม่รายงานตัวเลย</t>
        </is>
      </c>
      <c r="D27" s="10" t="inlineStr">
        <is>
          <t>สิทธิเต็ม 90, งวดทั้งหมดไม่ติ๊ก</t>
        </is>
      </c>
      <c r="E27" s="10" t="inlineStr">
        <is>
          <t>กด “ดูตารางงวด”</t>
        </is>
      </c>
      <c r="F27" s="10" t="inlineStr">
        <is>
          <t>ทุกงวด = “รอรายงานตัว” (ช่วงสิทธิ —) · จ่ายจริง 0 วัน</t>
        </is>
      </c>
      <c r="G27" s="10" t="inlineStr"/>
      <c r="H27" s="11" t="inlineStr"/>
      <c r="I27" s="10" t="inlineStr"/>
    </row>
    <row r="28" ht="58" customHeight="1">
      <c r="A28" s="6" t="inlineStr">
        <is>
          <t>TC-23</t>
        </is>
      </c>
      <c r="B28" s="7" t="inlineStr">
        <is>
          <t>Visualize</t>
        </is>
      </c>
      <c r="C28" s="7" t="inlineStr">
        <is>
          <t>แถบสิทธิเต็มสีอ่อน</t>
        </is>
      </c>
      <c r="D28" s="7" t="inlineStr">
        <is>
          <t>ค่าตั้งต้น คำขอ A</t>
        </is>
      </c>
      <c r="E28" s="7" t="inlineStr">
        <is>
          <t>ดูแถวเส้นเวลาของ A</t>
        </is>
      </c>
      <c r="F28" s="7" t="inlineStr">
        <is>
          <t>แถบสีอ่อน = สิทธิเต็มตามวินิจฉัย (08/04 → ~06/07, 90 วัน) ทับด้วยแถบทึบงวดจ่ายจริง 08/04–04/05</t>
        </is>
      </c>
      <c r="G28" s="7" t="inlineStr"/>
      <c r="H28" s="8" t="inlineStr"/>
      <c r="I28" s="7" t="inlineStr"/>
    </row>
    <row r="29" ht="44" customHeight="1">
      <c r="A29" s="9" t="inlineStr">
        <is>
          <t>TC-24</t>
        </is>
      </c>
      <c r="B29" s="10" t="inlineStr">
        <is>
          <t>Visualize</t>
        </is>
      </c>
      <c r="C29" s="10" t="inlineStr">
        <is>
          <t>drill-down เปิด/ปิด</t>
        </is>
      </c>
      <c r="D29" s="10" t="inlineStr">
        <is>
          <t>กดปุ่ม “ดูตารางงวด” 2 ครั้ง</t>
        </is>
      </c>
      <c r="E29" s="10" t="inlineStr">
        <is>
          <t>สังเกตการแสดงผล</t>
        </is>
      </c>
      <c r="F29" s="10" t="inlineStr">
        <is>
          <t>ครั้งแรก = แสดงตาราง, ครั้งที่สอง = ซ่อนตาราง</t>
        </is>
      </c>
      <c r="G29" s="10" t="inlineStr"/>
      <c r="H29" s="11" t="inlineStr"/>
      <c r="I29" s="10" t="inlineStr"/>
    </row>
    <row r="30" ht="58" customHeight="1">
      <c r="A30" s="6" t="inlineStr">
        <is>
          <t>TC-25</t>
        </is>
      </c>
      <c r="B30" s="7" t="inlineStr">
        <is>
          <t>Visualize</t>
        </is>
      </c>
      <c r="C30" s="7" t="inlineStr">
        <is>
          <t>สัญลักษณ์บนเส้นเวลา</t>
        </is>
      </c>
      <c r="D30" s="7" t="inlineStr">
        <is>
          <t>ค่าตั้งต้น</t>
        </is>
      </c>
      <c r="E30" s="7" t="inlineStr">
        <is>
          <t>ดู legend + เส้นเวลา</t>
        </is>
      </c>
      <c r="F30" s="7" t="inlineStr">
        <is>
          <t>สามเหลี่ยม = วันขึ้นทะเบียน · กรอบเส้นประ = งวดยังไม่รายงานตัว · แถบแดง = ช่วงซ้ำซ้อน</t>
        </is>
      </c>
      <c r="G30" s="7" t="inlineStr"/>
      <c r="H30" s="8" t="inlineStr"/>
      <c r="I30" s="7" t="inlineStr"/>
    </row>
    <row r="32">
      <c r="E32" s="12" t="inlineStr">
        <is>
          <t>สรุปผล:</t>
        </is>
      </c>
      <c r="F32" s="13" t="inlineStr">
        <is>
          <t>Pass</t>
        </is>
      </c>
      <c r="G32" s="14">
        <f>COUNTIF(H6:H30,"Pass")</f>
        <v/>
      </c>
    </row>
    <row r="33">
      <c r="F33" s="13" t="inlineStr">
        <is>
          <t>Fail</t>
        </is>
      </c>
      <c r="G33" s="15">
        <f>COUNTIF(H6:H30,"Fail")</f>
        <v/>
      </c>
    </row>
    <row r="34">
      <c r="F34" s="13" t="inlineStr">
        <is>
          <t>รวมเคส</t>
        </is>
      </c>
      <c r="G34" s="14" t="n">
        <v>25</v>
      </c>
    </row>
  </sheetData>
  <mergeCells count="7">
    <mergeCell ref="B3:D3"/>
    <mergeCell ref="F3:I3"/>
    <mergeCell ref="F4:I4"/>
    <mergeCell ref="F2:I2"/>
    <mergeCell ref="B4:D4"/>
    <mergeCell ref="A1:I1"/>
    <mergeCell ref="B2:D2"/>
  </mergeCells>
  <dataValidations count="1">
    <dataValidation sqref="H6:H30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24" customHeight="1">
      <c r="A1" s="16" t="inlineStr">
        <is>
          <t>หัวข้อ</t>
        </is>
      </c>
      <c r="B1" s="16" t="inlineStr">
        <is>
          <t>รายละเอียด</t>
        </is>
      </c>
    </row>
    <row r="2" ht="26" customHeight="1">
      <c r="A2" s="17" t="inlineStr">
        <is>
          <t>ค่าจ้างรายวัน (ม.57)</t>
        </is>
      </c>
      <c r="B2" s="18">
        <f> ค่าจ้าง 3 เดือนสูงสุด (เพดานเดือนละ 17,500 บาท) ÷ 90</f>
        <v/>
      </c>
    </row>
    <row r="3" ht="26" customHeight="1">
      <c r="A3" s="19" t="inlineStr">
        <is>
          <t>เพดานค่าจ้าง</t>
        </is>
      </c>
      <c r="B3" s="20" t="inlineStr">
        <is>
          <t>17,500 บาท/เดือน ตั้งแต่ 1 ม.ค. 2569 (เดิม 15,000)</t>
        </is>
      </c>
    </row>
    <row r="4" ht="38" customHeight="1">
      <c r="A4" s="17" t="inlineStr">
        <is>
          <t>อัตราเงินทดแทน</t>
        </is>
      </c>
      <c r="B4" s="18" t="inlineStr">
        <is>
          <t>เลิกจ้าง 60% · ลาออก/สิ้นสุดสัญญา 30% (กฎกระทรวงฯ ฉบับที่ 2 พ.ศ.2568 มีผล 28 มิ.ย.2568)</t>
        </is>
      </c>
    </row>
    <row r="5" ht="38" customHeight="1">
      <c r="A5" s="19" t="inlineStr">
        <is>
          <t>การปัดเศษ</t>
        </is>
      </c>
      <c r="B5" s="20" t="inlineStr">
        <is>
          <t>ปัดลงเป็นพหุคูณ 0.05 บาท ทุกขั้นการคำนวณ (ปัดเป็นสตางค์ก่อน floor กัน floating-point)</t>
        </is>
      </c>
    </row>
    <row r="6" ht="38" customHeight="1">
      <c r="A6" s="17" t="inlineStr">
        <is>
          <t>โควตาต่อปีปฏิทิน</t>
        </is>
      </c>
      <c r="B6" s="18" t="inlineStr">
        <is>
          <t>เลิกจ้าง ≤180 วัน · ลาออก ≤90 วัน · รวมหลายคำขอ: มีเลิกจ้าง→180, ลาออกล้วน→90 · วันเกินไม่จ่าย · นับแยกรายปีปฏิทิน</t>
        </is>
      </c>
    </row>
    <row r="7" ht="38" customHeight="1">
      <c r="A7" s="19" t="inlineStr">
        <is>
          <t>ความซ้ำซ้อน</t>
        </is>
      </c>
      <c r="B7" s="20" t="inlineStr">
        <is>
          <t>พิจารณาจากการทับซ้อนของ “ช่วงสิทธิที่จ่ายจริง (รายงวด)” เท่านั้น — มีหลายคำขอใกล้กันไม่ถือว่าซ้ำซ้อนโดยอัตโนมัติ</t>
        </is>
      </c>
    </row>
    <row r="8" ht="38" customHeight="1">
      <c r="A8" s="17" t="inlineStr">
        <is>
          <t>ยอดเรียกคืน</t>
        </is>
      </c>
      <c r="B8" s="18" t="inlineStr">
        <is>
          <t>วันที่ทับซ้อน × เงินทดแทนรายวันของคำขอที่ขึ้นทะเบียนก่อน (ฐานลาภมิควรได้ ป.พ.พ. ม.406)</t>
        </is>
      </c>
    </row>
    <row r="9" ht="26" customHeight="1">
      <c r="A9" s="19" t="inlineStr">
        <is>
          <t>งวดไม่รายงานตัว</t>
        </is>
      </c>
      <c r="B9" s="20" t="inlineStr">
        <is>
          <t>ไม่นับวันใช้สิทธิ (ไม่ตัดโควตา) จนกว่าจะรายงานตัว</t>
        </is>
      </c>
    </row>
    <row r="10" ht="26" customHeight="1">
      <c r="A10" s="17" t="inlineStr">
        <is>
          <t>วันที่กลับเข้าทำงาน</t>
        </is>
      </c>
      <c r="B10" s="18" t="inlineStr">
        <is>
          <t>ตัดจ่ายสิทธิตั้งแต่วันนั้น (จ่ายถึงวันก่อนกลับเข้าทำงาน)</t>
        </is>
      </c>
    </row>
    <row r="11" ht="38" customHeight="1">
      <c r="A11" s="19" t="inlineStr">
        <is>
          <t>วันเกิดสิทธิ</t>
        </is>
      </c>
      <c r="B11" s="20">
        <f> วันที่ 8 นับแต่วันว่างงาน (ขึ้นทะเบียนภายใน 30 วัน) ; เกิน 30 วัน นับจากวันขึ้นทะเบียน</f>
        <v/>
      </c>
    </row>
    <row r="12" ht="38" customHeight="1">
      <c r="A12" s="17" t="inlineStr">
        <is>
          <t>ตารางงวด (วินิจฉัยแล้ว)</t>
        </is>
      </c>
      <c r="B12" s="18" t="inlineStr">
        <is>
          <t>ระบบสร้างงวดรายเดือนครบ “สิทธิเต็ม” งวดที่ผ่านมา=ปกติ(จ่ายแล้ว)+ช่วงสิทธิ งวดอนาคต=รอรายงานตัว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2026-06-19T10:16:38Z</dcterms:created>
  <dcterms:modified xmlns:dcterms="http://purl.org/dc/terms/" xmlns:xsi="http://www.w3.org/2001/XMLSchema-instance" xsi:type="dcterms:W3CDTF">2026-06-19T10:16:38Z</dcterms:modified>
</cp:coreProperties>
</file>