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ogic &amp; Rules" sheetId="2" state="visible" r:id="rId2"/>
    <sheet xmlns:r="http://schemas.openxmlformats.org/officeDocument/2006/relationships" name="Regime Config" sheetId="3" state="visible" r:id="rId3"/>
    <sheet xmlns:r="http://schemas.openxmlformats.org/officeDocument/2006/relationships" name="effectiveCap (สิทธิเต็ม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1F3864"/>
      <sz val="14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2F4F7"/>
      </patternFill>
    </fill>
    <fill>
      <patternFill patternType="solid">
        <fgColor rgb="00FFF6CC"/>
      </patternFill>
    </fill>
    <fill>
      <patternFill patternType="solid">
        <fgColor rgb="00E9F8EF"/>
      </patternFill>
    </fill>
    <fill>
      <patternFill patternType="solid">
        <fgColor rgb="00E8F0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1" customWidth="1" min="3" max="3"/>
    <col width="22" customWidth="1" min="4" max="4"/>
    <col width="11" customWidth="1" min="5" max="5"/>
    <col width="9" customWidth="1" min="6" max="6"/>
    <col width="24" customWidth="1" min="7" max="7"/>
    <col width="40" customWidth="1" min="8" max="8"/>
    <col width="13" customWidth="1" min="9" max="9"/>
    <col width="30" customWidth="1" min="10" max="10"/>
  </cols>
  <sheetData>
    <row r="1">
      <c r="A1" s="1" t="inlineStr">
        <is>
          <t>Test Cases — วินิจฉัยสิทธิว่างงาน (BEN 33/39 · [48|P0-3])</t>
        </is>
      </c>
    </row>
    <row r="2">
      <c r="A2" s="2" t="inlineStr">
        <is>
          <t>ค่าจ้างรายวัน(D) สมมติตามเคส · ปัดเงินลงพหุคูณ 0.05 ทุกขั้น · สิทธิเต็ม=เพดานวันตามประกาศ (effectiveCap)</t>
        </is>
      </c>
    </row>
    <row r="4">
      <c r="A4" s="3" t="inlineStr">
        <is>
          <t>TC</t>
        </is>
      </c>
      <c r="B4" s="3" t="inlineStr">
        <is>
          <t>สถานการณ์</t>
        </is>
      </c>
      <c r="C4" s="3" t="inlineStr">
        <is>
          <t>ประเภท</t>
        </is>
      </c>
      <c r="D4" s="3" t="inlineStr">
        <is>
          <t>ประกาศ (regime) · อัตรา</t>
        </is>
      </c>
      <c r="E4" s="3" t="inlineStr">
        <is>
          <t>ค่าจ้างรายวัน (D)</t>
        </is>
      </c>
      <c r="F4" s="3" t="inlineStr">
        <is>
          <t>สิทธิเต็ม (วัน)</t>
        </is>
      </c>
      <c r="G4" s="3" t="inlineStr">
        <is>
          <t>Input หลัก</t>
        </is>
      </c>
      <c r="H4" s="3" t="inlineStr">
        <is>
          <t>Expected — ช่วง/วัน/เงิน</t>
        </is>
      </c>
      <c r="I4" s="3" t="inlineStr">
        <is>
          <t>เงินรวม</t>
        </is>
      </c>
      <c r="J4" s="3" t="inlineStr">
        <is>
          <t>จุดตรวจ</t>
        </is>
      </c>
    </row>
    <row r="5">
      <c r="A5" s="4" t="inlineStr">
        <is>
          <t>TC-01</t>
        </is>
      </c>
      <c r="B5" s="4" t="inlineStr">
        <is>
          <t>ลาออก จ่ายต่อเนื่อง 2 รอบ/เดือน</t>
        </is>
      </c>
      <c r="C5" s="4" t="inlineStr">
        <is>
          <t>ลาออก</t>
        </is>
      </c>
      <c r="D5" s="4" t="inlineStr">
        <is>
          <t>กฎ 2568 · 30% (เพดาน 17,500)</t>
        </is>
      </c>
      <c r="E5" s="4" t="inlineStr">
        <is>
          <t>583.30</t>
        </is>
      </c>
      <c r="F5" s="4" t="inlineStr">
        <is>
          <t>90</t>
        </is>
      </c>
      <c r="G5" s="4" t="inlineStr">
        <is>
          <t>ออก 1/1/26 · ขึ้นทะเบียน 8/1 · รายงาน 8/1, 7/2</t>
        </is>
      </c>
      <c r="H5" s="4" t="inlineStr">
        <is>
          <t>ม.ค. 8(1วัน)+9-31(23) · ก.พ. 1-7(7)+8-28(21) = 52 วัน × ฿174.95</t>
        </is>
      </c>
      <c r="I5" s="4" t="inlineStr">
        <is>
          <t>฿9,097.40</t>
        </is>
      </c>
      <c r="J5" s="4" t="inlineStr">
        <is>
          <t>จ่าย 2 รอบ/เดือน · daily=฿174.95</t>
        </is>
      </c>
    </row>
    <row r="6">
      <c r="A6" s="5" t="inlineStr">
        <is>
          <t>TC-02</t>
        </is>
      </c>
      <c r="B6" s="5" t="inlineStr">
        <is>
          <t>เลิกจ้าง สิทธิเต็ม 180</t>
        </is>
      </c>
      <c r="C6" s="5" t="inlineStr">
        <is>
          <t>เลิกจ้าง</t>
        </is>
      </c>
      <c r="D6" s="5" t="inlineStr">
        <is>
          <t>กฎ 2568 · 60%</t>
        </is>
      </c>
      <c r="E6" s="5" t="inlineStr">
        <is>
          <t>500</t>
        </is>
      </c>
      <c r="F6" s="5" t="inlineStr">
        <is>
          <t>180</t>
        </is>
      </c>
      <c r="G6" s="5" t="inlineStr">
        <is>
          <t>ออก 1/1/26 · รายงานต่อเนื่องถึงสิ้นปี</t>
        </is>
      </c>
      <c r="H6" s="5" t="inlineStr">
        <is>
          <t>≤180 วัน × ฿300.00 (ตัดส่วนเกินโควตา)</t>
        </is>
      </c>
      <c r="I6" s="5" t="inlineStr">
        <is>
          <t>ตามจริง</t>
        </is>
      </c>
      <c r="J6" s="5" t="inlineStr">
        <is>
          <t>สิทธิเต็ม=180 (กรณี 1)</t>
        </is>
      </c>
    </row>
    <row r="7">
      <c r="A7" s="6" t="inlineStr">
        <is>
          <t>TC-03</t>
        </is>
      </c>
      <c r="B7" s="6" t="inlineStr">
        <is>
          <t>คร่อมเข้าโควิด — เลิกจ้าง (2 ช่วง/รับแจ้งเดียว)</t>
        </is>
      </c>
      <c r="C7" s="6" t="inlineStr">
        <is>
          <t>เลิกจ้าง</t>
        </is>
      </c>
      <c r="D7" s="6" t="inlineStr">
        <is>
          <t>ช่วง1 กฎ2547 50% · ช่วง2 โควิด 70%</t>
        </is>
      </c>
      <c r="E7" s="6" t="inlineStr">
        <is>
          <t>500</t>
        </is>
      </c>
      <c r="F7" s="6" t="inlineStr">
        <is>
          <t>200</t>
        </is>
      </c>
      <c r="G7" s="6" t="inlineStr">
        <is>
          <t>ออก 1/2/63 · เกิดสิทธิ 8/2/63 · คร่อม 1/3/63</t>
        </is>
      </c>
      <c r="H7" s="6" t="inlineStr">
        <is>
          <t>ช่วง1 8-29 ก.พ.63 · 22วัน · ฿5,500.00  |  ช่วง2 1มี.ค.-25ส.ค.63 · 178วัน · ฿62,300.00</t>
        </is>
      </c>
      <c r="I7" s="6" t="inlineStr">
        <is>
          <t>฿67,800.00</t>
        </is>
      </c>
      <c r="J7" s="6" t="inlineStr">
        <is>
          <t>สิทธิเต็ม=200 (โควิดคุมส่วนที่เหลือ)</t>
        </is>
      </c>
    </row>
    <row r="8">
      <c r="A8" s="6" t="inlineStr">
        <is>
          <t>TC-04</t>
        </is>
      </c>
      <c r="B8" s="6" t="inlineStr">
        <is>
          <t>คร่อมออกโควิด — เลิกจ้าง (2 ช่วง/รับแจ้งเดียว)</t>
        </is>
      </c>
      <c r="C8" s="6" t="inlineStr">
        <is>
          <t>เลิกจ้าง</t>
        </is>
      </c>
      <c r="D8" s="6" t="inlineStr">
        <is>
          <t>ช่วง1 โควิด 70% · ช่วง2 กฎ2547 50%</t>
        </is>
      </c>
      <c r="E8" s="6" t="inlineStr">
        <is>
          <t>500</t>
        </is>
      </c>
      <c r="F8" s="6" t="inlineStr">
        <is>
          <t>180</t>
        </is>
      </c>
      <c r="G8" s="6" t="inlineStr">
        <is>
          <t>ออก 1/2/65 · เกิดสิทธิ 8/2/65 · คร่อม 1/3/65</t>
        </is>
      </c>
      <c r="H8" s="6" t="inlineStr">
        <is>
          <t>ช่วง1 8-28 ก.พ.65 · 21วัน · ฿7,350.00  |  ช่วง2 1มี.ค.-6ส.ค.65 · 159วัน · ฿39,750.00</t>
        </is>
      </c>
      <c r="I8" s="6" t="inlineStr">
        <is>
          <t>฿47,100.00</t>
        </is>
      </c>
      <c r="J8" s="6" t="inlineStr">
        <is>
          <t>สิทธิเต็ม=180 (กฎเดิมคุมส่วนที่เหลือ) — ต่างจาก TC-03</t>
        </is>
      </c>
    </row>
    <row r="9">
      <c r="A9" s="6" t="inlineStr">
        <is>
          <t>TC-05</t>
        </is>
      </c>
      <c r="B9" s="6" t="inlineStr">
        <is>
          <t>คร่อมเข้าโควิด — ลาออก (2 ช่วง/รับแจ้งเดียว)</t>
        </is>
      </c>
      <c r="C9" s="6" t="inlineStr">
        <is>
          <t>ลาออก</t>
        </is>
      </c>
      <c r="D9" s="6" t="inlineStr">
        <is>
          <t>ช่วง1 กฎ2547 30% · ช่วง2 โควิด 45%</t>
        </is>
      </c>
      <c r="E9" s="6" t="inlineStr">
        <is>
          <t>500</t>
        </is>
      </c>
      <c r="F9" s="6" t="inlineStr">
        <is>
          <t>90</t>
        </is>
      </c>
      <c r="G9" s="6" t="inlineStr">
        <is>
          <t>ออก 1/2/63 · เกิดสิทธิ 8/2/63 · คร่อม 1/3/63</t>
        </is>
      </c>
      <c r="H9" s="6" t="inlineStr">
        <is>
          <t>ช่วง1 22วัน·฿3,300.00  |  ช่วง2 68วัน·฿15,300.00</t>
        </is>
      </c>
      <c r="I9" s="6" t="inlineStr">
        <is>
          <t>฿18,600.00</t>
        </is>
      </c>
      <c r="J9" s="6" t="inlineStr">
        <is>
          <t>สิทธิเต็ม=90 (ลาออกล้วน)</t>
        </is>
      </c>
    </row>
    <row r="10">
      <c r="A10" s="5" t="inlineStr">
        <is>
          <t>TC-06</t>
        </is>
      </c>
      <c r="B10" s="5" t="inlineStr">
        <is>
          <t>ตัดโควตา — ใช้สิทธิสะสมแล้ว 70 วัน</t>
        </is>
      </c>
      <c r="C10" s="5" t="inlineStr">
        <is>
          <t>ลาออก</t>
        </is>
      </c>
      <c r="D10" s="5" t="inlineStr">
        <is>
          <t>กฎ 2568 · 30%</t>
        </is>
      </c>
      <c r="E10" s="5" t="inlineStr">
        <is>
          <t>500</t>
        </is>
      </c>
      <c r="F10" s="5" t="inlineStr">
        <is>
          <t>90</t>
        </is>
      </c>
      <c r="G10" s="5" t="inlineStr">
        <is>
          <t>prior=70 · ลาออก 90</t>
        </is>
      </c>
      <c r="H10" s="5" t="inlineStr">
        <is>
          <t>สิทธิที่วินิจฉัยได้ = 90-70 = 20 วัน · ตัดโควตา 70</t>
        </is>
      </c>
      <c r="I10" s="5" t="inlineStr">
        <is>
          <t>ตามจริง</t>
        </is>
      </c>
      <c r="J10" s="5" t="inlineStr">
        <is>
          <t>entitled=min(full, cap-prior) = 20 (กรณี 2)</t>
        </is>
      </c>
    </row>
    <row r="11">
      <c r="A11" s="4" t="inlineStr">
        <is>
          <t>TC-07</t>
        </is>
      </c>
      <c r="B11" s="4" t="inlineStr">
        <is>
          <t>auto-fill เดือนที่ขาด</t>
        </is>
      </c>
      <c r="C11" s="4" t="inlineStr">
        <is>
          <t>ลาออก</t>
        </is>
      </c>
      <c r="D11" s="4" t="inlineStr">
        <is>
          <t>กฎ 2568 · 30%</t>
        </is>
      </c>
      <c r="E11" s="4" t="inlineStr">
        <is>
          <t>500</t>
        </is>
      </c>
      <c r="F11" s="4" t="inlineStr">
        <is>
          <t>90</t>
        </is>
      </c>
      <c r="G11" s="4" t="inlineStr">
        <is>
          <t>รายงาน 8/1 แล้วข้ามไป 10/3</t>
        </is>
      </c>
      <c r="H11" s="4" t="inlineStr">
        <is>
          <t>ก.พ. = ทำจ่ายอัตโนมัติ (ไม่เกิดช่องว่างก่อนรายงานตัว)</t>
        </is>
      </c>
      <c r="I11" s="4" t="inlineStr">
        <is>
          <t>ตามจริง</t>
        </is>
      </c>
      <c r="J11" s="4" t="inlineStr">
        <is>
          <t>เดือนก่อนรายงานทำจ่ายอัตโนมัติ</t>
        </is>
      </c>
    </row>
    <row r="12">
      <c r="A12" s="5" t="inlineStr">
        <is>
          <t>TC-08</t>
        </is>
      </c>
      <c r="B12" s="5" t="inlineStr">
        <is>
          <t>นายจ้างแจ้งเข้างาน — ตัดจ่าย</t>
        </is>
      </c>
      <c r="C12" s="5" t="inlineStr">
        <is>
          <t>ลาออก</t>
        </is>
      </c>
      <c r="D12" s="5" t="inlineStr">
        <is>
          <t>กฎ 2568 · 30%</t>
        </is>
      </c>
      <c r="E12" s="5" t="inlineStr">
        <is>
          <t>500</t>
        </is>
      </c>
      <c r="F12" s="5" t="inlineStr">
        <is>
          <t>90</t>
        </is>
      </c>
      <c r="G12" s="5" t="inlineStr">
        <is>
          <t>แจ้งเข้างาน 1/3 → จ่ายถึงสิ้นเดือนก่อน (28/2)</t>
        </is>
      </c>
      <c r="H12" s="5" t="inlineStr">
        <is>
          <t>จ่ายถึง 28 ก.พ. เท่านั้น</t>
        </is>
      </c>
      <c r="I12" s="5" t="inlineStr">
        <is>
          <t>ตามจริง</t>
        </is>
      </c>
      <c r="J12" s="5" t="inlineStr">
        <is>
          <t>payCap = สิ้นเดือนก่อนเดือนที่นายจ้างแจ้ง</t>
        </is>
      </c>
    </row>
    <row r="13">
      <c r="A13" s="4" t="inlineStr">
        <is>
          <t>TC-09</t>
        </is>
      </c>
      <c r="B13" s="4" t="inlineStr">
        <is>
          <t>2 รับแจ้ง — พบความซ้ำซ้อน</t>
        </is>
      </c>
      <c r="C13" s="4" t="inlineStr">
        <is>
          <t>ลาออก×2</t>
        </is>
      </c>
      <c r="D13" s="4" t="inlineStr">
        <is>
          <t>กฎ 2568 · 30%</t>
        </is>
      </c>
      <c r="E13" s="4" t="inlineStr">
        <is>
          <t>500</t>
        </is>
      </c>
      <c r="F13" s="4" t="inlineStr">
        <is>
          <t>90 ต่อคำขอ</t>
        </is>
      </c>
      <c r="G13" s="4" t="inlineStr">
        <is>
          <t>A: จ่ายถึง 31พ.ค. · B: เริ่ม 18พ.ค.</t>
        </is>
      </c>
      <c r="H13" s="4" t="inlineStr">
        <is>
          <t>ช่วงทับ 18-31 พ.ค. = 14 วัน → ไฮไลต์แดง + ยอดเรียกคืน</t>
        </is>
      </c>
      <c r="I13" s="4" t="inlineStr">
        <is>
          <t>เรียกคืน</t>
        </is>
      </c>
      <c r="J13" s="4" t="inlineStr">
        <is>
          <t>ตรวจจากช่วงจ่ายจริงที่ทับกัน (รายงวด)</t>
        </is>
      </c>
    </row>
    <row r="14">
      <c r="A14" s="7" t="inlineStr">
        <is>
          <t>TC-10</t>
        </is>
      </c>
      <c r="B14" s="7" t="inlineStr">
        <is>
          <t>2 รับแจ้ง — ไม่ซ้ำซ้อน (ต่อเนื่อง)</t>
        </is>
      </c>
      <c r="C14" s="7" t="inlineStr">
        <is>
          <t>ลาออก×2</t>
        </is>
      </c>
      <c r="D14" s="7" t="inlineStr">
        <is>
          <t>กฎ 2568 · 30%</t>
        </is>
      </c>
      <c r="E14" s="7" t="inlineStr">
        <is>
          <t>500</t>
        </is>
      </c>
      <c r="F14" s="7" t="inlineStr">
        <is>
          <t>90 ต่อคำขอ</t>
        </is>
      </c>
      <c r="G14" s="7" t="inlineStr">
        <is>
          <t>A: ถึง 4พ.ค. · B: เริ่ม 18พ.ค.</t>
        </is>
      </c>
      <c r="H14" s="7" t="inlineStr">
        <is>
          <t>ไม่ทับ = 0 วัน → ไม่ flag</t>
        </is>
      </c>
      <c r="I14" s="7" t="inlineStr">
        <is>
          <t>—</t>
        </is>
      </c>
      <c r="J14" s="7" t="inlineStr">
        <is>
          <t>คู่ที่ต่อเนื่อง/ไม่ทับ ไม่ถือซ้ำซ้อน</t>
        </is>
      </c>
    </row>
    <row r="15">
      <c r="A15" s="6" t="inlineStr">
        <is>
          <t>TC-11</t>
        </is>
      </c>
      <c r="B15" s="6" t="inlineStr">
        <is>
          <t>[137] เคยเรียกเงินคืน → คืนสิทธิ</t>
        </is>
      </c>
      <c r="C15" s="6" t="inlineStr">
        <is>
          <t>ลาออก</t>
        </is>
      </c>
      <c r="D15" s="6" t="inlineStr">
        <is>
          <t>กฎ 2568 · 30%</t>
        </is>
      </c>
      <c r="E15" s="6" t="inlineStr">
        <is>
          <t>500</t>
        </is>
      </c>
      <c r="F15" s="6" t="inlineStr">
        <is>
          <t>90</t>
        </is>
      </c>
      <c r="G15" s="6" t="inlineStr">
        <is>
          <t>สะสมก่อนหน้า 55 · เรียกเงินคืน 50</t>
        </is>
      </c>
      <c r="H15" s="6" t="inlineStr">
        <is>
          <t>วันใช้สุทธิ = 55-50 = 5 → สิทธิที่วินิจฉัยได้ = 90-5 = 85 วัน</t>
        </is>
      </c>
      <c r="I15" s="6" t="inlineStr">
        <is>
          <t>ตามจริง</t>
        </is>
      </c>
      <c r="J15" s="6" t="inlineStr">
        <is>
          <t>ก่อนแก้ระบบให้ 35 (หักวันเรียกคืนผิด) · หลังแก้ = 85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5" customWidth="1" min="3" max="3"/>
  </cols>
  <sheetData>
    <row r="1">
      <c r="A1" s="1" t="inlineStr">
        <is>
          <t>Logic &amp; Rules — การคำนวณวินิจฉัยสิทธิว่างงาน</t>
        </is>
      </c>
    </row>
    <row r="3">
      <c r="A3" s="3" t="inlineStr">
        <is>
          <t>#</t>
        </is>
      </c>
      <c r="B3" s="3" t="inlineStr">
        <is>
          <t>กฎ/ตรรกะ</t>
        </is>
      </c>
      <c r="C3" s="3" t="inlineStr">
        <is>
          <t>รายละเอียด</t>
        </is>
      </c>
    </row>
    <row r="4" ht="46" customHeight="1">
      <c r="A4" s="8" t="inlineStr">
        <is>
          <t>1</t>
        </is>
      </c>
      <c r="B4" s="8" t="inlineStr">
        <is>
          <t>ค่าจ้างรายวัน (ม.57)</t>
        </is>
      </c>
      <c r="C4" s="8">
        <f> (ค่าจ้าง 3 เดือนสูงสุด ÷ 90) โดยแต่ละเดือน cap ที่ 'เพดานค่าจ้าง' ของประกาศ · ปัดลง 0.05</f>
        <v/>
      </c>
    </row>
    <row r="5" ht="30" customHeight="1">
      <c r="A5" s="8" t="inlineStr">
        <is>
          <t>2</t>
        </is>
      </c>
      <c r="B5" s="8" t="inlineStr">
        <is>
          <t>เงินทดแทนรายวัน</t>
        </is>
      </c>
      <c r="C5" s="8">
        <f> ค่าจ้างรายวัน × อัตรา(%) ของประกาศ · ปัดลง 0.05</f>
        <v/>
      </c>
    </row>
    <row r="6" ht="46" customHeight="1">
      <c r="A6" s="8" t="inlineStr">
        <is>
          <t>3</t>
        </is>
      </c>
      <c r="B6" s="8" t="inlineStr">
        <is>
          <t>การปัดเศษ</t>
        </is>
      </c>
      <c r="C6" s="8" t="inlineStr">
        <is>
          <t>ปัดลงพหุคูณ 0.05 บาททุกขั้น (0.00-0.04→.00, 0.05-0.09→.05) · ปัดเป็นสตางค์ก่อน floor</t>
        </is>
      </c>
    </row>
    <row r="7" ht="30" customHeight="1">
      <c r="A7" s="8" t="inlineStr">
        <is>
          <t>4</t>
        </is>
      </c>
      <c r="B7" s="8" t="inlineStr">
        <is>
          <t>วันเกิดสิทธิ (auto)</t>
        </is>
      </c>
      <c r="C7" s="8">
        <f> วันออกจากงาน + 7 ; ถ้าวันขึ้นทะเบียน &gt; วันออก+30 ใช้วันขึ้นทะเบียน</f>
        <v/>
      </c>
    </row>
    <row r="8" ht="46" customHeight="1">
      <c r="A8" s="9" t="inlineStr">
        <is>
          <t>5</t>
        </is>
      </c>
      <c r="B8" s="9" t="inlineStr">
        <is>
          <t>สิทธิเต็ม (วัน) — effectiveCap</t>
        </is>
      </c>
      <c r="C8" s="9" t="inlineStr">
        <is>
          <t>ปกติ = เพดานวันของ regime ณ วันเกิดสิทธิ (180/90) · ถ้าคร่อมขอบเข้า regime เพดานสูงกว่า (โควิด 200) ส่วนที่เหลือคุมโดย regime ใหม่ → ใช้เพดานนั้น</t>
        </is>
      </c>
    </row>
    <row r="9" ht="46" customHeight="1">
      <c r="A9" s="8" t="inlineStr">
        <is>
          <t>6</t>
        </is>
      </c>
      <c r="B9" s="8" t="inlineStr">
        <is>
          <t>การรายงานตัว / จ่าย 2 รอบ</t>
        </is>
      </c>
      <c r="C9" s="8" t="inlineStr">
        <is>
          <t>รายงานตัว 1 ครั้ง/เดือน · จ่าย 2 รอบ: (1) ถึงวันรายงานตัว (2) ส่วนที่เหลือถึงสิ้นเดือน</t>
        </is>
      </c>
    </row>
    <row r="10" ht="30" customHeight="1">
      <c r="A10" s="8" t="inlineStr">
        <is>
          <t>7</t>
        </is>
      </c>
      <c r="B10" s="8" t="inlineStr">
        <is>
          <t>auto-fill เดือนที่ขาด</t>
        </is>
      </c>
      <c r="C10" s="8" t="inlineStr">
        <is>
          <t>เดือนก่อนหน้าที่ยังไม่รายงานตัว → ทำจ่ายอัตโนมัติ (ไม่เกิดช่องว่าง)</t>
        </is>
      </c>
    </row>
    <row r="11" ht="30" customHeight="1">
      <c r="A11" s="8" t="inlineStr">
        <is>
          <t>8</t>
        </is>
      </c>
      <c r="B11" s="8" t="inlineStr">
        <is>
          <t>นายจ้างแจ้งเข้างาน</t>
        </is>
      </c>
      <c r="C11" s="8" t="inlineStr">
        <is>
          <t>จ่ายถึงสิ้นเดือนก่อนเดือนที่นายจ้างแจ้ง (payCap)</t>
        </is>
      </c>
    </row>
    <row r="12" ht="46" customHeight="1">
      <c r="A12" s="8" t="inlineStr">
        <is>
          <t>9</t>
        </is>
      </c>
      <c r="B12" s="8" t="inlineStr">
        <is>
          <t>โควตา/ปีปฏิทิน (กรณี 1/2/3)</t>
        </is>
      </c>
      <c r="C12" s="8" t="inlineStr">
        <is>
          <t>กรณี1 เลิกจ้าง ≤180/ปี · กรณี2 ลาออก ≤90/ปี · กรณี3 เลิกจ้าง+ใดๆ รวม ≤180 (โควิด 200), ลาออก+ลาออก ≤90</t>
        </is>
      </c>
    </row>
    <row r="13" ht="46" customHeight="1">
      <c r="A13" s="8" t="inlineStr">
        <is>
          <t>10</t>
        </is>
      </c>
      <c r="B13" s="8" t="inlineStr">
        <is>
          <t>สิทธิที่วินิจฉัยได้</t>
        </is>
      </c>
      <c r="C13" s="8">
        <f> min(สิทธิเต็ม, เพดานโควตา/ปี − สิทธิสะสมก่อนหน้า − ที่ปันให้คำขออื่น) · ส่วนเกิน = ตัดโควตา</f>
        <v/>
      </c>
    </row>
    <row r="14" ht="46" customHeight="1">
      <c r="A14" s="9" t="inlineStr">
        <is>
          <t>11</t>
        </is>
      </c>
      <c r="B14" s="9" t="inlineStr">
        <is>
          <t>คร่อมขอบประกาศ (2 ช่วง)</t>
        </is>
      </c>
      <c r="C14" s="9" t="inlineStr">
        <is>
          <t>คำขอเดียวแบ่ง 2 ช่วงอัตราในรับแจ้งเดียวกัน · ช่วง2 ต่อเนื่องทันที (ไม่มี waiting ใหม่) · นับวัน/โควตาต่อเนื่อง · ไม่ถือซ้ำซ้อน</t>
        </is>
      </c>
    </row>
    <row r="15" ht="46" customHeight="1">
      <c r="A15" s="9" t="inlineStr">
        <is>
          <t>12</t>
        </is>
      </c>
      <c r="B15" s="9" t="inlineStr">
        <is>
          <t>ตรวจความซ้ำซ้อน</t>
        </is>
      </c>
      <c r="C15" s="9" t="inlineStr">
        <is>
          <t>พิจารณาจากช่วง 'จ่ายจริง (รายงวด)' ที่ทับกันเท่านั้น · ทับ = วันซ้ำซ้อน + ยอดเรียกคืน · ต่อเนื่องไม่ทับ = ไม่ซ้ำซ้อน</t>
        </is>
      </c>
    </row>
    <row r="16" ht="46" customHeight="1">
      <c r="A16" s="8" t="inlineStr">
        <is>
          <t>13</t>
        </is>
      </c>
      <c r="B16" s="8" t="inlineStr">
        <is>
          <t>master / ค่าตั้งต้น</t>
        </is>
      </c>
      <c r="C16" s="8" t="inlineStr">
        <is>
          <t>กฎกระทรวง 2547 = ค่าตั้งต้น · ช่วงที่ไม่มีประกาศเฉพาะใช้ค่านี้อัตโนมัติ (ไม่มีแนวคิดช่องว่าง)</t>
        </is>
      </c>
    </row>
    <row r="17" ht="46" customHeight="1">
      <c r="A17" s="9" t="inlineStr">
        <is>
          <t>14</t>
        </is>
      </c>
      <c r="B17" s="9" t="inlineStr">
        <is>
          <t>การเรียกเงินคืน = คืนสิทธิ [137]</t>
        </is>
      </c>
      <c r="C17" s="9" t="inlineStr">
        <is>
          <t>วันที่เคยถูกเรียกเงินคืน ต้องคืนสิทธิ ไม่นับเป็นวันใช้สิทธิ → วันใช้สิทธิสุทธิ = วันใช้สะสมก่อนหน้า − วันที่เรียกเงินคืน ; ป้องกันระบบคำนวณสิทธิขาด (เช่น ควรได้ 85 แต่ระบบหัก 50 ที่เรียกคืนไปด้วยจนเหลือ 35)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1" customWidth="1" min="4" max="4"/>
    <col width="10" customWidth="1" min="5" max="5"/>
    <col width="13" customWidth="1" min="6" max="6"/>
    <col width="22" customWidth="1" min="7" max="7"/>
  </cols>
  <sheetData>
    <row r="1">
      <c r="A1" s="1" t="inlineStr">
        <is>
          <t>Regime Config — ตารางประกาศอัตรา (single source of truth)</t>
        </is>
      </c>
    </row>
    <row r="3">
      <c r="A3" s="3" t="inlineStr">
        <is>
          <t>ประกาศ</t>
        </is>
      </c>
      <c r="B3" s="3" t="inlineStr">
        <is>
          <t>วันมีผล</t>
        </is>
      </c>
      <c r="C3" s="3" t="inlineStr">
        <is>
          <t>วันสิ้นสุด</t>
        </is>
      </c>
      <c r="D3" s="3" t="inlineStr">
        <is>
          <t>เลิกจ้าง</t>
        </is>
      </c>
      <c r="E3" s="3" t="inlineStr">
        <is>
          <t>ลาออก</t>
        </is>
      </c>
      <c r="F3" s="3" t="inlineStr">
        <is>
          <t>เพดานค่าจ้าง</t>
        </is>
      </c>
      <c r="G3" s="3" t="inlineStr">
        <is>
          <t>หมายเหตุ</t>
        </is>
      </c>
    </row>
    <row r="4" ht="30" customHeight="1">
      <c r="A4" s="9" t="inlineStr">
        <is>
          <t>กฎกระทรวง 2547 (MASTER)</t>
        </is>
      </c>
      <c r="B4" s="9" t="inlineStr">
        <is>
          <t>22 ม.ค.47</t>
        </is>
      </c>
      <c r="C4" s="9" t="inlineStr">
        <is>
          <t>— (ค่าตั้งต้น)</t>
        </is>
      </c>
      <c r="D4" s="9" t="inlineStr">
        <is>
          <t>50% · ≤180</t>
        </is>
      </c>
      <c r="E4" s="9" t="inlineStr">
        <is>
          <t>30% · ≤90</t>
        </is>
      </c>
      <c r="F4" s="9" t="inlineStr">
        <is>
          <t>15,000</t>
        </is>
      </c>
      <c r="G4" s="9" t="inlineStr">
        <is>
          <t>ค่าตั้งต้น ใช้เมื่อไม่มีประกาศอื่น</t>
        </is>
      </c>
    </row>
    <row r="5" ht="30" customHeight="1">
      <c r="A5" s="8" t="inlineStr">
        <is>
          <t>โควิด 2563</t>
        </is>
      </c>
      <c r="B5" s="8" t="inlineStr">
        <is>
          <t>1 มี.ค.63</t>
        </is>
      </c>
      <c r="C5" s="8" t="inlineStr">
        <is>
          <t>28 ก.พ.65</t>
        </is>
      </c>
      <c r="D5" s="8" t="inlineStr">
        <is>
          <t>70% · ≤200</t>
        </is>
      </c>
      <c r="E5" s="8" t="inlineStr">
        <is>
          <t>45% · ≤90</t>
        </is>
      </c>
      <c r="F5" s="8" t="inlineStr">
        <is>
          <t>15,000</t>
        </is>
      </c>
      <c r="G5" s="8" t="inlineStr">
        <is>
          <t>อัตราพิเศษช่วงโควิด</t>
        </is>
      </c>
    </row>
    <row r="6" ht="30" customHeight="1">
      <c r="A6" s="8" t="inlineStr">
        <is>
          <t>กฎฯ ฉบับที่ 2 พ.ศ.2568</t>
        </is>
      </c>
      <c r="B6" s="8" t="inlineStr">
        <is>
          <t>28 มิ.ย.68</t>
        </is>
      </c>
      <c r="C6" s="8" t="inlineStr">
        <is>
          <t>—</t>
        </is>
      </c>
      <c r="D6" s="8" t="inlineStr">
        <is>
          <t>60% · ≤180</t>
        </is>
      </c>
      <c r="E6" s="8" t="inlineStr">
        <is>
          <t>30% · ≤90</t>
        </is>
      </c>
      <c r="F6" s="8" t="inlineStr">
        <is>
          <t>15,000</t>
        </is>
      </c>
      <c r="G6" s="8" t="inlineStr">
        <is>
          <t>อัตราปัจจุบัน</t>
        </is>
      </c>
    </row>
    <row r="7" ht="30" customHeight="1">
      <c r="A7" s="8" t="inlineStr">
        <is>
          <t>ปรับเพดาน 2569</t>
        </is>
      </c>
      <c r="B7" s="8" t="inlineStr">
        <is>
          <t>1 ม.ค.69</t>
        </is>
      </c>
      <c r="C7" s="8" t="inlineStr">
        <is>
          <t>—</t>
        </is>
      </c>
      <c r="D7" s="8" t="inlineStr">
        <is>
          <t>60% · ≤180</t>
        </is>
      </c>
      <c r="E7" s="8" t="inlineStr">
        <is>
          <t>30% · ≤90</t>
        </is>
      </c>
      <c r="F7" s="8" t="inlineStr">
        <is>
          <t>17,500</t>
        </is>
      </c>
      <c r="G7" s="8" t="inlineStr">
        <is>
          <t>เพดานค่าจ้างใหม่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14" customWidth="1" min="4" max="4"/>
  </cols>
  <sheetData>
    <row r="1">
      <c r="A1" s="1" t="inlineStr">
        <is>
          <t>สิทธิเต็ม (วัน) ตามประกาศ — effectiveCap matrix</t>
        </is>
      </c>
    </row>
    <row r="3">
      <c r="A3" s="3" t="inlineStr">
        <is>
          <t>สถานการณ์ (วันเกิดสิทธิ)</t>
        </is>
      </c>
      <c r="B3" s="3" t="inlineStr">
        <is>
          <t>ประเภท</t>
        </is>
      </c>
      <c r="C3" s="3" t="inlineStr">
        <is>
          <t>regime ที่คุมส่วนที่เหลือ</t>
        </is>
      </c>
      <c r="D3" s="3" t="inlineStr">
        <is>
          <t>สิทธิเต็ม (วัน)</t>
        </is>
      </c>
    </row>
    <row r="4" ht="30" customHeight="1">
      <c r="A4" s="8" t="inlineStr">
        <is>
          <t>ปกติ (ไม่คร่อม)</t>
        </is>
      </c>
      <c r="B4" s="8" t="inlineStr">
        <is>
          <t>เลิกจ้าง</t>
        </is>
      </c>
      <c r="C4" s="8" t="inlineStr">
        <is>
          <t>กฎ 2568</t>
        </is>
      </c>
      <c r="D4" s="8" t="inlineStr">
        <is>
          <t>180</t>
        </is>
      </c>
    </row>
    <row r="5" ht="30" customHeight="1">
      <c r="A5" s="8" t="inlineStr">
        <is>
          <t>ปกติ (ไม่คร่อม)</t>
        </is>
      </c>
      <c r="B5" s="8" t="inlineStr">
        <is>
          <t>ลาออก</t>
        </is>
      </c>
      <c r="C5" s="8" t="inlineStr">
        <is>
          <t>กฎ 2568</t>
        </is>
      </c>
      <c r="D5" s="8" t="inlineStr">
        <is>
          <t>90</t>
        </is>
      </c>
    </row>
    <row r="6" ht="30" customHeight="1">
      <c r="A6" s="10" t="inlineStr">
        <is>
          <t>คร่อมเข้าโควิด (ก่อน 1 มี.ค.63)</t>
        </is>
      </c>
      <c r="B6" s="10" t="inlineStr">
        <is>
          <t>เลิกจ้าง</t>
        </is>
      </c>
      <c r="C6" s="10" t="inlineStr">
        <is>
          <t>โควิด (200)</t>
        </is>
      </c>
      <c r="D6" s="10" t="inlineStr">
        <is>
          <t>200</t>
        </is>
      </c>
    </row>
    <row r="7" ht="30" customHeight="1">
      <c r="A7" s="8" t="inlineStr">
        <is>
          <t>คร่อมเข้าโควิด (ก่อน 1 มี.ค.63)</t>
        </is>
      </c>
      <c r="B7" s="8" t="inlineStr">
        <is>
          <t>ลาออก</t>
        </is>
      </c>
      <c r="C7" s="8" t="inlineStr">
        <is>
          <t>โควิด/กฎเดิม</t>
        </is>
      </c>
      <c r="D7" s="8" t="inlineStr">
        <is>
          <t>90</t>
        </is>
      </c>
    </row>
    <row r="8" ht="30" customHeight="1">
      <c r="A8" s="8" t="inlineStr">
        <is>
          <t>คร่อมออกโควิด (ก่อน 28 ก.พ.65)</t>
        </is>
      </c>
      <c r="B8" s="8" t="inlineStr">
        <is>
          <t>เลิกจ้าง</t>
        </is>
      </c>
      <c r="C8" s="8" t="inlineStr">
        <is>
          <t>กฎ 2547 (180)</t>
        </is>
      </c>
      <c r="D8" s="8" t="inlineStr">
        <is>
          <t>180</t>
        </is>
      </c>
    </row>
    <row r="9" ht="30" customHeight="1">
      <c r="A9" s="10" t="inlineStr">
        <is>
          <t>โควิดล้วน (อยู่ในช่วงโควิด)</t>
        </is>
      </c>
      <c r="B9" s="10" t="inlineStr">
        <is>
          <t>เลิกจ้าง</t>
        </is>
      </c>
      <c r="C9" s="10" t="inlineStr">
        <is>
          <t>โควิด (200)</t>
        </is>
      </c>
      <c r="D9" s="10" t="inlineStr">
        <is>
          <t>200</t>
        </is>
      </c>
    </row>
    <row r="11">
      <c r="A11" s="2" t="inlineStr">
        <is>
          <t>* ตรวจด้วย harness แล้ว ผลตรงทุกแถว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2026-06-25T10:13:57Z</dcterms:created>
  <dcterms:modified xmlns:dcterms="http://purl.org/dc/terms/" xmlns:xsi="http://www.w3.org/2001/XMLSchema-instance" xsi:type="dcterms:W3CDTF">2026-06-25T10:13:57Z</dcterms:modified>
</cp:coreProperties>
</file>