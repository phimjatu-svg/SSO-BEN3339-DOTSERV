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ภาพรวม" sheetId="1" state="visible" r:id="rId3"/>
    <sheet name="2.แผนงาน+Gantt" sheetId="2" state="visible" r:id="rId4"/>
    <sheet name="3.ทีม+บทบาท" sheetId="3" state="visible" r:id="rId5"/>
    <sheet name="4.Milestones" sheetId="4" state="visible" r:id="rId6"/>
    <sheet name="5.RACI" sheetId="5" state="visible" r:id="rId7"/>
    <sheet name="6.ความเสี่ยง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<sst xmlns="http://schemas.openxmlformats.org/spreadsheetml/2006/main" count="724" uniqueCount="395">
  <si>
    <t xml:space="preserve">แผนงาน Recovery Module ประโยชน์ทดแทน 33/39 (BEN 33/39)</t>
  </si>
  <si>
    <t xml:space="preserve">ระยะเวลา: 18 พ.ค. 2569 – 10 ก.ค. 2569  |  2 เดือน  |  20 + 20 = 40 วันทำการ</t>
  </si>
  <si>
    <t xml:space="preserve">วัตถุประสงค์</t>
  </si>
  <si>
    <t xml:space="preserve">ฟื้นฟูและพัฒนาโมดูลประโยชน์ทดแทน ม.33/ม.39 ครอบคลุม 6 กรณี (ยกเว้น 'ตาย' ที่อยู่นอก scope) ภายใน 2 เดือน พร้อม Batch Review ทุก Module เดิม</t>
  </si>
  <si>
    <t xml:space="preserve">ขอบเขตเดือนที่ 1</t>
  </si>
  <si>
    <t xml:space="preserve">Functional 2 กรณี: (1) ว่างงาน  (2) ชราภาพ  +  Batch Review ทุก Module</t>
  </si>
  <si>
    <t xml:space="preserve">ขอบเขตเดือนที่ 2</t>
  </si>
  <si>
    <t xml:space="preserve">Functional 4 กรณี: (1) สงเคราะห์บุตร  (2) ทุพพลภาพ  (3) คลอดบุตร  (4) เจ็บป่วย/ประสบอุบัติเหตุอันตราย</t>
  </si>
  <si>
    <t xml:space="preserve">ผู้ประกันตน</t>
  </si>
  <si>
    <t xml:space="preserve">ม.33 (ลูกจ้างประจำ) และ ม.39 (สมัครใจ)</t>
  </si>
  <si>
    <t xml:space="preserve">ทีมงาน</t>
  </si>
  <si>
    <t xml:space="preserve">Large team (7+ คน): PM, Tech Lead, BA Lead, BA ×3, Backend Dev ×4, Frontend Dev ×2, UX/UI, DBA, QA Lead, QA ×2, DevOps</t>
  </si>
  <si>
    <t xml:space="preserve">วันทำการ</t>
  </si>
  <si>
    <t xml:space="preserve">จันทร์–ศุกร์ (ยกเว้นวันหยุดราชการ)</t>
  </si>
  <si>
    <t xml:space="preserve">เครื่องมือสำคัญ</t>
  </si>
  <si>
    <t xml:space="preserve">Jira (Task tracking) · Confluence (Doc) · Git/Bitbucket (Source) · Jenkins (CI/CD) · Test Environment: DEV / SIT / UAT / PROD</t>
  </si>
  <si>
    <t xml:space="preserve">เกณฑ์ความสำเร็จ</t>
  </si>
  <si>
    <t xml:space="preserve">1) UAT Sign-off ครบ 6 กรณี ภายใน 10 ก.ค. 2569
2) Batch Review รายงานครบทุก Module พร้อม Action Plan
3) Zero Critical Defects ก่อน Deploy
4) Business Rules ตรงตาม สปส. ฉบับล่าสุด</t>
  </si>
  <si>
    <t xml:space="preserve">Key Milestones</t>
  </si>
  <si>
    <t xml:space="preserve">M1 (29 พ.ค.): จบ Requirements 2 กรณี
M2 (5 มิ.ย.): จบ Design 2 กรณี
M3 (12 มิ.ย.): UAT Sign-off ว่างงาน+ชราภาพ + Batch Review Report
M4 (22 มิ.ย.): จบ Requirements 4 กรณี
M5 (3 ก.ค.): Code Complete 4 กรณี
M6 (10 ก.ค.): UAT Sign-off ครบ 6 กรณี + Go-Live Ready</t>
  </si>
  <si>
    <t xml:space="preserve">คำอธิบายสีในแผน Gantt</t>
  </si>
  <si>
    <t xml:space="preserve">Requirements / BA</t>
  </si>
  <si>
    <t xml:space="preserve">Design / UX</t>
  </si>
  <si>
    <t xml:space="preserve">Development</t>
  </si>
  <si>
    <t xml:space="preserve">Testing (SIT/UAT)</t>
  </si>
  <si>
    <t xml:space="preserve">Batch Review</t>
  </si>
  <si>
    <t xml:space="preserve">Milestone / Go-Live</t>
  </si>
  <si>
    <t xml:space="preserve">ลำดับ</t>
  </si>
  <si>
    <t xml:space="preserve">Phase</t>
  </si>
  <si>
    <t xml:space="preserve">งาน (Task)</t>
  </si>
  <si>
    <t xml:space="preserve">ผู้รับผิดชอบ</t>
  </si>
  <si>
    <t xml:space="preserve">Dependencies</t>
  </si>
  <si>
    <t xml:space="preserve">วันเริ่ม</t>
  </si>
  <si>
    <t xml:space="preserve">วันสิ้นสุด</t>
  </si>
  <si>
    <t xml:space="preserve">ระยะเวลา (วัน)</t>
  </si>
  <si>
    <t xml:space="preserve">Deliverable</t>
  </si>
  <si>
    <t xml:space="preserve">W1  (18/05–22/05)  เดือนที่ 1</t>
  </si>
  <si>
    <t xml:space="preserve">W2  (25/05–29/05)  เดือนที่ 1</t>
  </si>
  <si>
    <t xml:space="preserve">W3  (01/06–05/06)  เดือนที่ 1</t>
  </si>
  <si>
    <t xml:space="preserve">W4  (08/06–12/06)  เดือนที่ 1</t>
  </si>
  <si>
    <t xml:space="preserve">W5  (15/06–19/06)  เดือนที่ 2</t>
  </si>
  <si>
    <t xml:space="preserve">W6  (22/06–26/06)  เดือนที่ 2</t>
  </si>
  <si>
    <t xml:space="preserve">W7  (29/06–03/07)  เดือนที่ 2</t>
  </si>
  <si>
    <t xml:space="preserve">W8  (06/07–10/07)  เดือนที่ 2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</si>
  <si>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</si>
  <si>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</si>
  <si>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</si>
  <si>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</si>
  <si>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</si>
  <si>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</si>
  <si>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</si>
  <si>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</si>
  <si>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</si>
  <si>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</si>
  <si>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</si>
  <si>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</si>
  <si>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</si>
  <si>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</si>
  <si>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</si>
  <si>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</si>
  <si>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</si>
  <si>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</si>
  <si>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</si>
  <si>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</si>
  <si>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15</t>
  </si>
  <si>
    <t xml:space="preserve">16</t>
  </si>
  <si>
    <t xml:space="preserve">17</t>
  </si>
  <si>
    <t xml:space="preserve">23</t>
  </si>
  <si>
    <t xml:space="preserve">24</t>
  </si>
  <si>
    <t xml:space="preserve">30</t>
  </si>
  <si>
    <t xml:space="preserve">06</t>
  </si>
  <si>
    <t xml:space="preserve">07</t>
  </si>
  <si>
    <t xml:space="preserve">INIT</t>
  </si>
  <si>
    <t xml:space="preserve">Project Kickoff Meeting &amp; ยืนยัน Scope</t>
  </si>
  <si>
    <t xml:space="preserve">PM, ผู้บริหาร, Sponsor</t>
  </si>
  <si>
    <t xml:space="preserve">-</t>
  </si>
  <si>
    <t xml:space="preserve">Kickoff Minute</t>
  </si>
  <si>
    <t xml:space="preserve">จัดตั้งทีมและประกาศบทบาท (RACI)</t>
  </si>
  <si>
    <t xml:space="preserve">PM</t>
  </si>
  <si>
    <t xml:space="preserve">1</t>
  </si>
  <si>
    <t xml:space="preserve">RACI Chart</t>
  </si>
  <si>
    <t xml:space="preserve">เตรียม Environment: DEV / SIT / UAT</t>
  </si>
  <si>
    <t xml:space="preserve">DevOps, Tech Lead</t>
  </si>
  <si>
    <t xml:space="preserve">Environment Ready</t>
  </si>
  <si>
    <t xml:space="preserve">ตั้ง Repository &amp; CI/CD Pipeline</t>
  </si>
  <si>
    <t xml:space="preserve">DevOps</t>
  </si>
  <si>
    <t xml:space="preserve">Git+Jenkins</t>
  </si>
  <si>
    <t xml:space="preserve">จัดทำ Communication Plan / Tracking ใน Jira</t>
  </si>
  <si>
    <t xml:space="preserve">Comm Plan</t>
  </si>
  <si>
    <t xml:space="preserve">BATCH</t>
  </si>
  <si>
    <t xml:space="preserve">วางแผนและขอบเขต Batch Review ทุก Module</t>
  </si>
  <si>
    <t xml:space="preserve">Tech Lead, Architect</t>
  </si>
  <si>
    <t xml:space="preserve">Review Plan</t>
  </si>
  <si>
    <t xml:space="preserve">Review Code &amp; Architecture (Module เดิม)</t>
  </si>
  <si>
    <t xml:space="preserve">Senior Dev, Tech Lead</t>
  </si>
  <si>
    <t xml:space="preserve">6</t>
  </si>
  <si>
    <t xml:space="preserve">Code Review Note</t>
  </si>
  <si>
    <t xml:space="preserve">ตรวจสอบ Data Quality / Data Reconcile</t>
  </si>
  <si>
    <t xml:space="preserve">Data Analyst, DBA</t>
  </si>
  <si>
    <t xml:space="preserve">Data Quality Report</t>
  </si>
  <si>
    <t xml:space="preserve">ระบุ Technical Debt + Risk</t>
  </si>
  <si>
    <t xml:space="preserve">Tech Lead</t>
  </si>
  <si>
    <t xml:space="preserve">7</t>
  </si>
  <si>
    <t xml:space="preserve">Tech Debt Backlog</t>
  </si>
  <si>
    <t xml:space="preserve">สรุปรายงาน Batch Review + Action Plan</t>
  </si>
  <si>
    <t xml:space="preserve">Tech Lead, PM</t>
  </si>
  <si>
    <t xml:space="preserve">7,8,9</t>
  </si>
  <si>
    <t xml:space="preserve">Batch Review Report</t>
  </si>
  <si>
    <t xml:space="preserve">REQ-M1</t>
  </si>
  <si>
    <t xml:space="preserve">รวบรวมเอกสารเดิม - กรณีว่างงาน</t>
  </si>
  <si>
    <t xml:space="preserve">BA1</t>
  </si>
  <si>
    <t xml:space="preserve">Doc Inventory</t>
  </si>
  <si>
    <t xml:space="preserve">รวบรวมเอกสารเดิม - กรณีชราภาพ</t>
  </si>
  <si>
    <t xml:space="preserve">BA2</t>
  </si>
  <si>
    <t xml:space="preserve">สัมภาษณ์ SME / Business Owner (ว่างงาน)</t>
  </si>
  <si>
    <t xml:space="preserve">BA1, BA Lead</t>
  </si>
  <si>
    <t xml:space="preserve">Interview Note</t>
  </si>
  <si>
    <t xml:space="preserve">สัมภาษณ์ SME / Business Owner (ชราภาพ)</t>
  </si>
  <si>
    <t xml:space="preserve">BA2, BA Lead</t>
  </si>
  <si>
    <t xml:space="preserve">Business Rules: เงื่อนไขสิทธิ์/อัตราจ่าย (ว่างงาน)</t>
  </si>
  <si>
    <t xml:space="preserve">13</t>
  </si>
  <si>
    <t xml:space="preserve">BR Spec</t>
  </si>
  <si>
    <t xml:space="preserve">Business Rules: เงื่อนไขสิทธิ์/อัตราจ่าย (ชราภาพ)</t>
  </si>
  <si>
    <t xml:space="preserve">14</t>
  </si>
  <si>
    <t xml:space="preserve">Workshop ตรวจสอบ BR ร่วมกับ SME</t>
  </si>
  <si>
    <t xml:space="preserve">BA Lead, SME</t>
  </si>
  <si>
    <t xml:space="preserve">15,16</t>
  </si>
  <si>
    <t xml:space="preserve">Workshop Minute</t>
  </si>
  <si>
    <t xml:space="preserve">จัดทำ FRD (ว่างงาน)</t>
  </si>
  <si>
    <t xml:space="preserve">FRD ว่างงาน</t>
  </si>
  <si>
    <t xml:space="preserve">จัดทำ FRD (ชราภาพ)</t>
  </si>
  <si>
    <t xml:space="preserve">FRD ชราภาพ</t>
  </si>
  <si>
    <t xml:space="preserve">Sign-off Requirements (M1)</t>
  </si>
  <si>
    <t xml:space="preserve">Business Owner, PM</t>
  </si>
  <si>
    <t xml:space="preserve">18,19</t>
  </si>
  <si>
    <t xml:space="preserve">Requirements Sign-off</t>
  </si>
  <si>
    <t xml:space="preserve">DSG-M1</t>
  </si>
  <si>
    <t xml:space="preserve">Functional Design (ว่างงาน)</t>
  </si>
  <si>
    <t xml:space="preserve">BA1, Solution Designer</t>
  </si>
  <si>
    <t xml:space="preserve">FD ว่างงาน</t>
  </si>
  <si>
    <t xml:space="preserve">Functional Design (ชราภาพ)</t>
  </si>
  <si>
    <t xml:space="preserve">BA2, Solution Designer</t>
  </si>
  <si>
    <t xml:space="preserve">FD ชราภาพ</t>
  </si>
  <si>
    <t xml:space="preserve">Technical Design + Data Model (M1)</t>
  </si>
  <si>
    <t xml:space="preserve">TD Doc</t>
  </si>
  <si>
    <t xml:space="preserve">UI/UX Wireframe (ว่างงาน)</t>
  </si>
  <si>
    <t xml:space="preserve">UX/UI</t>
  </si>
  <si>
    <t xml:space="preserve">Wireframe</t>
  </si>
  <si>
    <t xml:space="preserve">UI/UX Wireframe (ชราภาพ)</t>
  </si>
  <si>
    <t xml:space="preserve">Integration Design (เชื่อมระบบเดิม)</t>
  </si>
  <si>
    <t xml:space="preserve">Architect, Tech Lead</t>
  </si>
  <si>
    <t xml:space="preserve">Integration Spec</t>
  </si>
  <si>
    <t xml:space="preserve">Design Review Meeting</t>
  </si>
  <si>
    <t xml:space="preserve">ทีมทั้งหมด</t>
  </si>
  <si>
    <t xml:space="preserve">21,22,23,24,25,26</t>
  </si>
  <si>
    <t xml:space="preserve">Design Approved</t>
  </si>
  <si>
    <t xml:space="preserve">DEV-M1</t>
  </si>
  <si>
    <t xml:space="preserve">Database Schema/Migration (M1)</t>
  </si>
  <si>
    <t xml:space="preserve">DBA</t>
  </si>
  <si>
    <t xml:space="preserve">DB Script</t>
  </si>
  <si>
    <t xml:space="preserve">Backend API - ว่างงาน</t>
  </si>
  <si>
    <t xml:space="preserve">Dev1, Dev2</t>
  </si>
  <si>
    <t xml:space="preserve">API ว่างงาน</t>
  </si>
  <si>
    <t xml:space="preserve">Backend API - ชราภาพ</t>
  </si>
  <si>
    <t xml:space="preserve">Dev3, Dev4</t>
  </si>
  <si>
    <t xml:space="preserve">API ชราภาพ</t>
  </si>
  <si>
    <t xml:space="preserve">Frontend UI - ว่างงาน</t>
  </si>
  <si>
    <t xml:space="preserve">FE Dev1</t>
  </si>
  <si>
    <t xml:space="preserve">24,29</t>
  </si>
  <si>
    <t xml:space="preserve">FE ว่างงาน</t>
  </si>
  <si>
    <t xml:space="preserve">Frontend UI - ชราภาพ</t>
  </si>
  <si>
    <t xml:space="preserve">FE Dev2</t>
  </si>
  <si>
    <t xml:space="preserve">25,30</t>
  </si>
  <si>
    <t xml:space="preserve">FE ชราภาพ</t>
  </si>
  <si>
    <t xml:space="preserve">Unit Test (M1)</t>
  </si>
  <si>
    <t xml:space="preserve">Dev Team</t>
  </si>
  <si>
    <t xml:space="preserve">29,30,31,32</t>
  </si>
  <si>
    <t xml:space="preserve">UT Result ≥80%</t>
  </si>
  <si>
    <t xml:space="preserve">Code Review + Merge to SIT</t>
  </si>
  <si>
    <t xml:space="preserve">33</t>
  </si>
  <si>
    <t xml:space="preserve">PR Approved</t>
  </si>
  <si>
    <t xml:space="preserve">TST-M1</t>
  </si>
  <si>
    <t xml:space="preserve">เตรียม Test Case + Test Data (M1)</t>
  </si>
  <si>
    <t xml:space="preserve">QA Lead, QA1, QA2</t>
  </si>
  <si>
    <t xml:space="preserve">Test Pack</t>
  </si>
  <si>
    <t xml:space="preserve">SIT Execution - ว่างงาน</t>
  </si>
  <si>
    <t xml:space="preserve">QA1</t>
  </si>
  <si>
    <t xml:space="preserve">34,35</t>
  </si>
  <si>
    <t xml:space="preserve">SIT Result</t>
  </si>
  <si>
    <t xml:space="preserve">SIT Execution - ชราภาพ</t>
  </si>
  <si>
    <t xml:space="preserve">QA2</t>
  </si>
  <si>
    <t xml:space="preserve">Bug Fix Round 1 (M1)</t>
  </si>
  <si>
    <t xml:space="preserve">36,37</t>
  </si>
  <si>
    <t xml:space="preserve">Fixed Build</t>
  </si>
  <si>
    <t xml:space="preserve">UAT Execution + Sign-off (M1)</t>
  </si>
  <si>
    <t xml:space="preserve">Business Owner, BA</t>
  </si>
  <si>
    <t xml:space="preserve">38</t>
  </si>
  <si>
    <t xml:space="preserve">UAT Sign-off M1</t>
  </si>
  <si>
    <t xml:space="preserve">REQ-M2</t>
  </si>
  <si>
    <t xml:space="preserve">รวบรวมเอกสาร - สงเคราะห์บุตร</t>
  </si>
  <si>
    <t xml:space="preserve">39</t>
  </si>
  <si>
    <t xml:space="preserve">รวบรวมเอกสาร - ทุพพลภาพ</t>
  </si>
  <si>
    <t xml:space="preserve">รวบรวมเอกสาร - คลอดบุตร</t>
  </si>
  <si>
    <t xml:space="preserve">BA3</t>
  </si>
  <si>
    <t xml:space="preserve">รวบรวมเอกสาร - เจ็บป่วย/อุบัติเหตุ</t>
  </si>
  <si>
    <t xml:space="preserve">BA Lead</t>
  </si>
  <si>
    <t xml:space="preserve">สัมภาษณ์ SME (4 กรณีคู่ขนาน)</t>
  </si>
  <si>
    <t xml:space="preserve">BA team, SME</t>
  </si>
  <si>
    <t xml:space="preserve">40,41,42,43</t>
  </si>
  <si>
    <t xml:space="preserve">Business Rules + FRD (4 กรณี)</t>
  </si>
  <si>
    <t xml:space="preserve">BA team</t>
  </si>
  <si>
    <t xml:space="preserve">44</t>
  </si>
  <si>
    <t xml:space="preserve">FRD ×4</t>
  </si>
  <si>
    <t xml:space="preserve">Sign-off Requirements (M2)</t>
  </si>
  <si>
    <t xml:space="preserve">45</t>
  </si>
  <si>
    <t xml:space="preserve">DSG-M2</t>
  </si>
  <si>
    <t xml:space="preserve">Functional Design (4 กรณี)</t>
  </si>
  <si>
    <t xml:space="preserve">BA team, Solution Designer</t>
  </si>
  <si>
    <t xml:space="preserve">46</t>
  </si>
  <si>
    <t xml:space="preserve">FD ×4</t>
  </si>
  <si>
    <t xml:space="preserve">Technical Design + Data Model (M2)</t>
  </si>
  <si>
    <t xml:space="preserve">UI/UX Wireframe (4 กรณี)</t>
  </si>
  <si>
    <t xml:space="preserve">Wireframe ×4</t>
  </si>
  <si>
    <t xml:space="preserve">Design Review Meeting (M2)</t>
  </si>
  <si>
    <t xml:space="preserve">47,48,49</t>
  </si>
  <si>
    <t xml:space="preserve">DEV-M2</t>
  </si>
  <si>
    <t xml:space="preserve">Database Schema/Migration (M2)</t>
  </si>
  <si>
    <t xml:space="preserve">48</t>
  </si>
  <si>
    <t xml:space="preserve">Backend API - สงเคราะห์บุตร</t>
  </si>
  <si>
    <t xml:space="preserve">Dev1</t>
  </si>
  <si>
    <t xml:space="preserve">50,51</t>
  </si>
  <si>
    <t xml:space="preserve">API</t>
  </si>
  <si>
    <t xml:space="preserve">Backend API - ทุพพลภาพ</t>
  </si>
  <si>
    <t xml:space="preserve">Dev2</t>
  </si>
  <si>
    <t xml:space="preserve">Backend API - คลอดบุตร</t>
  </si>
  <si>
    <t xml:space="preserve">Dev3</t>
  </si>
  <si>
    <t xml:space="preserve">Backend API - เจ็บป่วย/อุบัติเหตุ</t>
  </si>
  <si>
    <t xml:space="preserve">Dev4</t>
  </si>
  <si>
    <t xml:space="preserve">Frontend UI (4 กรณี)</t>
  </si>
  <si>
    <t xml:space="preserve">FE Dev1, FE Dev2</t>
  </si>
  <si>
    <t xml:space="preserve">49,52,53,54,55</t>
  </si>
  <si>
    <t xml:space="preserve">FE ×4</t>
  </si>
  <si>
    <t xml:space="preserve">Unit Test (M2)</t>
  </si>
  <si>
    <t xml:space="preserve">52,53,54,55,56</t>
  </si>
  <si>
    <t xml:space="preserve">UT Result</t>
  </si>
  <si>
    <t xml:space="preserve">57</t>
  </si>
  <si>
    <t xml:space="preserve">TST-M2</t>
  </si>
  <si>
    <t xml:space="preserve">เตรียม Test Case + Test Data (M2)</t>
  </si>
  <si>
    <t xml:space="preserve">SIT Execution (4 กรณี)</t>
  </si>
  <si>
    <t xml:space="preserve">QA1, QA2</t>
  </si>
  <si>
    <t xml:space="preserve">58,59</t>
  </si>
  <si>
    <t xml:space="preserve">Bug Fix Round 1 (M2)</t>
  </si>
  <si>
    <t xml:space="preserve">60</t>
  </si>
  <si>
    <t xml:space="preserve">UAT Execution - รวม 6 กรณี</t>
  </si>
  <si>
    <t xml:space="preserve">61</t>
  </si>
  <si>
    <t xml:space="preserve">UAT Result</t>
  </si>
  <si>
    <t xml:space="preserve">UAT Sign-off + Go-Live Readiness Review</t>
  </si>
  <si>
    <t xml:space="preserve">PM, Business Owner</t>
  </si>
  <si>
    <t xml:space="preserve">62</t>
  </si>
  <si>
    <t xml:space="preserve">UAT Sign-off + Go-Live</t>
  </si>
  <si>
    <t xml:space="preserve">CLOSE</t>
  </si>
  <si>
    <t xml:space="preserve">Deployment Preparation + Rollback Plan</t>
  </si>
  <si>
    <t xml:space="preserve">Deploy Pkg</t>
  </si>
  <si>
    <t xml:space="preserve">Knowledge Transfer + Hypercare Plan</t>
  </si>
  <si>
    <t xml:space="preserve">PM, Tech Lead</t>
  </si>
  <si>
    <t xml:space="preserve">63</t>
  </si>
  <si>
    <t xml:space="preserve">KT Doc</t>
  </si>
  <si>
    <t xml:space="preserve">Project Closure &amp; Lessons Learned</t>
  </si>
  <si>
    <t xml:space="preserve">PM, All</t>
  </si>
  <si>
    <t xml:space="preserve">63,64,65</t>
  </si>
  <si>
    <t xml:space="preserve">Closure Report</t>
  </si>
  <si>
    <t xml:space="preserve">รวมทั้งหมด</t>
  </si>
  <si>
    <t xml:space="preserve">#</t>
  </si>
  <si>
    <t xml:space="preserve">บทบาท</t>
  </si>
  <si>
    <t xml:space="preserve">Function</t>
  </si>
  <si>
    <t xml:space="preserve">จำนวน</t>
  </si>
  <si>
    <t xml:space="preserve">ความรับผิดชอบหลัก</t>
  </si>
  <si>
    <t xml:space="preserve">Project Manager (PM)</t>
  </si>
  <si>
    <t xml:space="preserve">Governance</t>
  </si>
  <si>
    <t xml:space="preserve">บริหารโครงการ ติดตามความก้าวหน้า บริหารความเสี่ยง ประสาน Stakeholder รายงานสถานะ</t>
  </si>
  <si>
    <t xml:space="preserve">Business Analyst Lead</t>
  </si>
  <si>
    <t xml:space="preserve">Intake</t>
  </si>
  <si>
    <t xml:space="preserve">นำทีม BA, ออกแบบ Process ภาพรวม, ดูแลคุณภาพ FRD, Workshop กับ SME</t>
  </si>
  <si>
    <t xml:space="preserve">Business Analyst (BA1-3)</t>
  </si>
  <si>
    <t xml:space="preserve">รวบรวม Requirements, จัดทำ FRD รายกรณี, Business Rules, ดูแล UAT</t>
  </si>
  <si>
    <t xml:space="preserve">Tech Lead / Architect</t>
  </si>
  <si>
    <t xml:space="preserve">Design+Build</t>
  </si>
  <si>
    <t xml:space="preserve">ออกแบบ Technical/Architecture, Code Review, ตัดสินใจด้านเทคนิค, Batch Review Lead</t>
  </si>
  <si>
    <t xml:space="preserve">Solution Designer</t>
  </si>
  <si>
    <t xml:space="preserve">Design</t>
  </si>
  <si>
    <t xml:space="preserve">Functional Design, ระบบงานเชื่อมโยง, Integration Spec</t>
  </si>
  <si>
    <t xml:space="preserve">UX/UI Designer</t>
  </si>
  <si>
    <t xml:space="preserve">Wireframe, Mockup, Usability</t>
  </si>
  <si>
    <t xml:space="preserve">Backend Developer (Dev1-4)</t>
  </si>
  <si>
    <t xml:space="preserve">Build</t>
  </si>
  <si>
    <t xml:space="preserve">พัฒนา API/Service ต่อกรณี, Unit Test</t>
  </si>
  <si>
    <t xml:space="preserve">Frontend Developer (FE Dev1-2)</t>
  </si>
  <si>
    <t xml:space="preserve">พัฒนา UI ตาม Wireframe, เชื่อมต่อ API</t>
  </si>
  <si>
    <t xml:space="preserve">Database Administrator (DBA)</t>
  </si>
  <si>
    <t xml:space="preserve">ออกแบบ/อัปเดต Schema, Migration, Data Reconcile</t>
  </si>
  <si>
    <t xml:space="preserve">DevOps Engineer</t>
  </si>
  <si>
    <t xml:space="preserve">Build+Release</t>
  </si>
  <si>
    <t xml:space="preserve">Environment Setup, CI/CD, Deploy, Rollback Plan</t>
  </si>
  <si>
    <t xml:space="preserve">QA Lead</t>
  </si>
  <si>
    <t xml:space="preserve">Test</t>
  </si>
  <si>
    <t xml:space="preserve">วางแผนทดสอบ, ออกแบบ Test Strategy, ดูแล UAT</t>
  </si>
  <si>
    <t xml:space="preserve">QA Tester (QA1-2)</t>
  </si>
  <si>
    <t xml:space="preserve">เขียน/ทดสอบ Test Case, รายงาน Defect, Regression</t>
  </si>
  <si>
    <t xml:space="preserve">Business Owner / SME</t>
  </si>
  <si>
    <t xml:space="preserve">ยืนยัน Requirements, UAT, Sign-off</t>
  </si>
  <si>
    <t xml:space="preserve">รวมทีมงาน</t>
  </si>
  <si>
    <t xml:space="preserve">Milestone</t>
  </si>
  <si>
    <t xml:space="preserve">วันที่</t>
  </si>
  <si>
    <t xml:space="preserve">รายละเอียด</t>
  </si>
  <si>
    <t xml:space="preserve">เกณฑ์ผ่าน (Acceptance)</t>
  </si>
  <si>
    <t xml:space="preserve">M0</t>
  </si>
  <si>
    <t xml:space="preserve">Project Kickoff</t>
  </si>
  <si>
    <t xml:space="preserve">Scope+Team+Plan ได้รับการยืนยัน</t>
  </si>
  <si>
    <t xml:space="preserve">M1</t>
  </si>
  <si>
    <t xml:space="preserve">Requirements Sign-off (2 กรณี)</t>
  </si>
  <si>
    <t xml:space="preserve">FRD ว่างงาน+ชราภาพ ได้รับ Sign-off</t>
  </si>
  <si>
    <t xml:space="preserve">M2</t>
  </si>
  <si>
    <t xml:space="preserve">Design Approved (M1)</t>
  </si>
  <si>
    <t xml:space="preserve">FD/TD/Wireframe ครบ 2 กรณี</t>
  </si>
  <si>
    <t xml:space="preserve">M3</t>
  </si>
  <si>
    <t xml:space="preserve">UAT Sign-off (M1) + Batch Review</t>
  </si>
  <si>
    <t xml:space="preserve">UAT ผ่าน ≥95% + Batch Review Report ส่งมอบ</t>
  </si>
  <si>
    <t xml:space="preserve">M4</t>
  </si>
  <si>
    <t xml:space="preserve">Requirements Sign-off (4 กรณี)</t>
  </si>
  <si>
    <t xml:space="preserve">FRD ครบ 4 กรณี</t>
  </si>
  <si>
    <t xml:space="preserve">M5</t>
  </si>
  <si>
    <t xml:space="preserve">Code Complete (M2)</t>
  </si>
  <si>
    <t xml:space="preserve">Unit Test ผ่าน, Code Review เสร็จสิ้น</t>
  </si>
  <si>
    <t xml:space="preserve">M6</t>
  </si>
  <si>
    <t xml:space="preserve">UAT Sign-off + Go-Live Ready</t>
  </si>
  <si>
    <t xml:space="preserve">UAT ครบ 6 กรณี + Deploy Plan พร้อม</t>
  </si>
  <si>
    <t xml:space="preserve">กิจกรรม / Activity</t>
  </si>
  <si>
    <t xml:space="preserve">BA</t>
  </si>
  <si>
    <t xml:space="preserve">Dev</t>
  </si>
  <si>
    <t xml:space="preserve">QA</t>
  </si>
  <si>
    <t xml:space="preserve">Business Owner/SME</t>
  </si>
  <si>
    <t xml:space="preserve">Project Kickoff &amp; Scope</t>
  </si>
  <si>
    <t xml:space="preserve">A</t>
  </si>
  <si>
    <t xml:space="preserve">R</t>
  </si>
  <si>
    <t xml:space="preserve">C</t>
  </si>
  <si>
    <t xml:space="preserve">I</t>
  </si>
  <si>
    <t xml:space="preserve">Requirements / FRD</t>
  </si>
  <si>
    <t xml:space="preserve">Business Rules Validation</t>
  </si>
  <si>
    <t xml:space="preserve">Functional + Technical Design</t>
  </si>
  <si>
    <t xml:space="preserve">Database / Data Migration</t>
  </si>
  <si>
    <t xml:space="preserve">Backend / Frontend Development</t>
  </si>
  <si>
    <t xml:space="preserve">Code Review</t>
  </si>
  <si>
    <t xml:space="preserve">Unit Test</t>
  </si>
  <si>
    <t xml:space="preserve">SIT (System Integration Test)</t>
  </si>
  <si>
    <t xml:space="preserve">UAT</t>
  </si>
  <si>
    <t xml:space="preserve">Defect Fix</t>
  </si>
  <si>
    <t xml:space="preserve">Batch Review (Module เดิม)</t>
  </si>
  <si>
    <t xml:space="preserve">Deployment + Rollback</t>
  </si>
  <si>
    <t xml:space="preserve">UAT Sign-off / Go-Live</t>
  </si>
  <si>
    <t xml:space="preserve">Hypercare / Support</t>
  </si>
  <si>
    <t xml:space="preserve">คำอธิบาย RACI:</t>
  </si>
  <si>
    <t xml:space="preserve">Responsible — ผู้ลงมือทำ</t>
  </si>
  <si>
    <t xml:space="preserve">Accountable — ผู้รับผิดชอบสุดท้าย (1 คนเท่านั้นต่อกิจกรรม)</t>
  </si>
  <si>
    <t xml:space="preserve">Consulted — ต้องปรึกษา</t>
  </si>
  <si>
    <t xml:space="preserve">Informed — ต้องแจ้งให้ทราบ</t>
  </si>
  <si>
    <t xml:space="preserve">ความเสี่ยง</t>
  </si>
  <si>
    <t xml:space="preserve">โอกาส (1-5)</t>
  </si>
  <si>
    <t xml:space="preserve">ผลกระทบ (1-5)</t>
  </si>
  <si>
    <t xml:space="preserve">คะแนนรวม</t>
  </si>
  <si>
    <t xml:space="preserve">มาตรการลด/บรรเทา</t>
  </si>
  <si>
    <t xml:space="preserve">Requirements ไม่ครบ/เปลี่ยนระหว่างทาง</t>
  </si>
  <si>
    <t xml:space="preserve">Freeze Scope หลัง Sign-off, ใช้ Change Request Process, Workshop กับ SME ตั้งแต่สัปดาห์แรก</t>
  </si>
  <si>
    <t xml:space="preserve">BA Lead, PM</t>
  </si>
  <si>
    <t xml:space="preserve">Business Rules ของ สปส. อัปเดตช่วงโครงการ</t>
  </si>
  <si>
    <t xml:space="preserve">ตรวจสอบประกาศ สปส. ฉบับล่าสุด, Mark-up รายการที่อาจเปลี่ยน, ออกแบบให้ปรับ Config ได้</t>
  </si>
  <si>
    <t xml:space="preserve">BA Lead, Tech Lead</t>
  </si>
  <si>
    <t xml:space="preserve">ทีมพัฒนาไม่คุ้น Domain ประกันสังคม</t>
  </si>
  <si>
    <t xml:space="preserve">Knowledge Transfer สัปดาห์ที่ 1, ทำ Glossary คำศัพท์, Pair Programming กับ Senior Dev</t>
  </si>
  <si>
    <t xml:space="preserve">Data เดิมคุณภาพต่ำ/ไม่ครบ (Batch Review พบ)</t>
  </si>
  <si>
    <t xml:space="preserve">Data Quality Report เป็น Deliverable ของ Batch Review, มี Data Cleansing Backlog</t>
  </si>
  <si>
    <t xml:space="preserve">DBA, Data Analyst</t>
  </si>
  <si>
    <t xml:space="preserve">Technical Debt จาก Module เดิม กระทบ Recovery</t>
  </si>
  <si>
    <t xml:space="preserve">ระบุใน Batch Review, จัด Priority Refactor ใน Sprint, แยก Hotfix vs Recovery</t>
  </si>
  <si>
    <t xml:space="preserve">UAT ล่าช้าเพราะ Business ไม่ว่าง</t>
  </si>
  <si>
    <t xml:space="preserve">นัด UAT ล่วงหน้า 2 สัปดาห์, จัดทีม UAT สำรอง, Dry-run ก่อน UAT จริง</t>
  </si>
  <si>
    <t xml:space="preserve">PM, BA Lead</t>
  </si>
  <si>
    <t xml:space="preserve">Bug หลัง SIT จำนวนมาก</t>
  </si>
  <si>
    <t xml:space="preserve">เพิ่ม Unit Test Coverage ≥80%, Code Review บังคับ, มี Bug Fix Round 2 ใน Buffer</t>
  </si>
  <si>
    <t xml:space="preserve">QA Lead, Tech Lead</t>
  </si>
  <si>
    <t xml:space="preserve">Integration กับระบบเดิมล้มเหลว</t>
  </si>
  <si>
    <t xml:space="preserve">Integration Test ใน SIT แต่ละ Sprint, Mock Service สำรอง, Communication กับทีมเจ้าของระบบเดิม</t>
  </si>
  <si>
    <t xml:space="preserve">ทีม Resource ไม่ครบ/ลาออก</t>
  </si>
  <si>
    <t xml:space="preserve">Cross-training ขั้นต่ำ 2 คนต่อโมดูล, Document ทุกขั้นตอน, มี Backup Resource</t>
  </si>
  <si>
    <t xml:space="preserve">Deploy แล้วพบปัญหา PROD (Critical)</t>
  </si>
  <si>
    <t xml:space="preserve">Rollback Plan, Blue-Green Deploy, Smoke Test, Hypercare 2 สัปดาห์หลัง Go-Live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</si>
</sst>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TH SarabunPSK"/>
      <family val="0"/>
      <charset val="1"/>
    </font>
    <font>
      <b val="true"/>
      <sz val="12"/>
      <color rgb="FFFFFFFF"/>
      <name val="TH SarabunPSK"/>
      <family val="0"/>
      <charset val="1"/>
    </font>
    <font>
      <sz val="11"/>
      <color rgb="FF000000"/>
      <name val="TH SarabunPSK"/>
      <family val="0"/>
      <charset val="1"/>
    </font>
    <font>
      <b val="true"/>
      <sz val="13"/>
      <color rgb="FFFFFFFF"/>
      <name val="TH SarabunPSK"/>
      <family val="0"/>
      <charset val="1"/>
    </font>
    <font>
      <b val="true"/>
      <sz val="11"/>
      <color rgb="FFFFFFFF"/>
      <name val="TH SarabunPSK"/>
      <family val="0"/>
      <charset val="1"/>
    </font>
    <font>
      <b val="true"/>
      <sz val="10"/>
      <color rgb="FFFFFFFF"/>
      <name val="TH SarabunPSK"/>
      <family val="0"/>
      <charset val="1"/>
    </font>
    <font>
      <b val="true"/>
      <sz val="9"/>
      <color rgb="FFFFFFFF"/>
      <name val="TH SarabunPSK"/>
      <family val="0"/>
      <charset val="1"/>
    </font>
    <font>
      <sz val="10"/>
      <color rgb="FF000000"/>
      <name val="TH SarabunPSK"/>
      <family val="0"/>
      <charset val="1"/>
    </font>
    <font>
      <b val="true"/>
      <sz val="11"/>
      <color rgb="FF000000"/>
      <name val="TH SarabunPSK"/>
      <family val="0"/>
      <charset val="1"/>
    </font>
    <font>
      <b val="true"/>
      <sz val="12"/>
      <color rgb="FF000000"/>
      <name val="TH SarabunPSK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5CD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CE5CD"/>
      </patternFill>
    </fill>
    <fill>
      <patternFill patternType="solid">
        <fgColor rgb="FFF2F2F2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595959"/>
        <bgColor rgb="FF548235"/>
      </patternFill>
    </fill>
    <fill>
      <patternFill patternType="solid">
        <fgColor rgb="FFFFD966"/>
        <bgColor rgb="FFFCE5CD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5CD"/>
      <rgbColor rgb="FFF2F2F2"/>
      <rgbColor rgb="FFFF99CC"/>
      <rgbColor rgb="FFCC99FF"/>
      <rgbColor rgb="FFF4CCCC"/>
      <rgbColor rgb="FF2E75B6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4"/>
  </cols>
  <sheetData>
    <row r="2" customFormat="false" ht="37.5" hidden="false" customHeight="true" outlineLevel="0" collapsed="false">
      <c r="B2" s="1" t="s">
        <v>0</v>
      </c>
      <c r="C2" s="1"/>
    </row>
    <row r="3" customFormat="false" ht="24" hidden="false" customHeight="true" outlineLevel="0" collapsed="false">
      <c r="B3" s="2" t="s">
        <v>1</v>
      </c>
      <c r="C3" s="2"/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21.75" hidden="false" customHeight="true" outlineLevel="0" collapsed="false">
      <c r="B6" s="3" t="s">
        <v>4</v>
      </c>
      <c r="C6" s="4" t="s">
        <v>5</v>
      </c>
    </row>
    <row r="7" customFormat="false" ht="31.5" hidden="false" customHeight="true" outlineLevel="0" collapsed="false">
      <c r="B7" s="3" t="s">
        <v>6</v>
      </c>
      <c r="C7" s="4" t="s">
        <v>7</v>
      </c>
    </row>
    <row r="8" customFormat="false" ht="21.75" hidden="false" customHeight="true" outlineLevel="0" collapsed="false">
      <c r="B8" s="3" t="s">
        <v>8</v>
      </c>
      <c r="C8" s="4" t="s">
        <v>9</v>
      </c>
    </row>
    <row r="9" customFormat="false" ht="31.5" hidden="false" customHeight="true" outlineLevel="0" collapsed="false">
      <c r="B9" s="3" t="s">
        <v>10</v>
      </c>
      <c r="C9" s="4" t="s">
        <v>11</v>
      </c>
    </row>
    <row r="10" customFormat="false" ht="21.75" hidden="false" customHeight="true" outlineLevel="0" collapsed="false">
      <c r="B10" s="3" t="s">
        <v>12</v>
      </c>
      <c r="C10" s="4" t="s">
        <v>13</v>
      </c>
    </row>
    <row r="11" customFormat="false" ht="31.5" hidden="false" customHeight="true" outlineLevel="0" collapsed="false">
      <c r="B11" s="3" t="s">
        <v>14</v>
      </c>
      <c r="C11" s="4" t="s">
        <v>15</v>
      </c>
    </row>
    <row r="12" customFormat="false" ht="96" hidden="false" customHeight="true" outlineLevel="0" collapsed="false">
      <c r="B12" s="3" t="s">
        <v>16</v>
      </c>
      <c r="C12" s="4" t="s">
        <v>17</v>
      </c>
    </row>
    <row r="13" customFormat="false" ht="144" hidden="false" customHeight="true" outlineLevel="0" collapsed="false">
      <c r="B13" s="3" t="s">
        <v>18</v>
      </c>
      <c r="C13" s="4" t="s">
        <v>19</v>
      </c>
    </row>
    <row r="15" customFormat="false" ht="24" hidden="false" customHeight="true" outlineLevel="0" collapsed="false">
      <c r="B15" s="5" t="s">
        <v>20</v>
      </c>
      <c r="C15" s="5"/>
    </row>
    <row r="16" customFormat="false" ht="19.5" hidden="false" customHeight="true" outlineLevel="0" collapsed="false">
      <c r="B16" s="6"/>
      <c r="C16" s="7" t="s">
        <v>21</v>
      </c>
    </row>
    <row r="17" customFormat="false" ht="19.5" hidden="false" customHeight="true" outlineLevel="0" collapsed="false">
      <c r="B17" s="8"/>
      <c r="C17" s="7" t="s">
        <v>22</v>
      </c>
    </row>
    <row r="18" customFormat="false" ht="19.5" hidden="false" customHeight="true" outlineLevel="0" collapsed="false">
      <c r="B18" s="9"/>
      <c r="C18" s="7" t="s">
        <v>23</v>
      </c>
    </row>
    <row r="19" customFormat="false" ht="19.5" hidden="false" customHeight="true" outlineLevel="0" collapsed="false">
      <c r="B19" s="10"/>
      <c r="C19" s="7" t="s">
        <v>24</v>
      </c>
    </row>
    <row r="20" customFormat="false" ht="19.5" hidden="false" customHeight="true" outlineLevel="0" collapsed="false">
      <c r="B20" s="11"/>
      <c r="C20" s="7" t="s">
        <v>25</v>
      </c>
    </row>
    <row r="21" customFormat="false" ht="19.5" hidden="false" customHeight="true" outlineLevel="0" collapsed="false">
      <c r="B21" s="10"/>
      <c r="C21" s="7" t="s">
        <v>26</v>
      </c>
    </row>
  </sheetData>
  <mergeCells count="3">
    <mergeCell ref="B2:C2"/>
    <mergeCell ref="B3:C3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W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49" min="10" style="0" width="4.2"/>
  </cols>
  <sheetData>
    <row r="2" customFormat="false" ht="25.5" hidden="false" customHeight="true" outlineLevel="0" collapsed="false">
      <c r="A2" s="12" t="s">
        <v>27</v>
      </c>
      <c r="B2" s="12" t="s">
        <v>28</v>
      </c>
      <c r="C2" s="12" t="s">
        <v>29</v>
      </c>
      <c r="D2" s="12" t="s">
        <v>30</v>
      </c>
      <c r="E2" s="12" t="s">
        <v>31</v>
      </c>
      <c r="F2" s="12" t="s">
        <v>32</v>
      </c>
      <c r="G2" s="12" t="s">
        <v>33</v>
      </c>
      <c r="H2" s="12" t="s">
        <v>34</v>
      </c>
      <c r="I2" s="12" t="s">
        <v>35</v>
      </c>
      <c r="J2" s="13" t="s">
        <v>36</v>
      </c>
      <c r="K2" s="13"/>
      <c r="L2" s="13"/>
      <c r="M2" s="13"/>
      <c r="N2" s="13"/>
      <c r="O2" s="13" t="s">
        <v>37</v>
      </c>
      <c r="P2" s="13"/>
      <c r="Q2" s="13"/>
      <c r="R2" s="13"/>
      <c r="S2" s="13"/>
      <c r="T2" s="13" t="s">
        <v>38</v>
      </c>
      <c r="U2" s="13"/>
      <c r="V2" s="13"/>
      <c r="W2" s="13"/>
      <c r="X2" s="13"/>
      <c r="Y2" s="13" t="s">
        <v>39</v>
      </c>
      <c r="Z2" s="13"/>
      <c r="AA2" s="13"/>
      <c r="AB2" s="13"/>
      <c r="AC2" s="13"/>
      <c r="AD2" s="14" t="s">
        <v>40</v>
      </c>
      <c r="AE2" s="14"/>
      <c r="AF2" s="14"/>
      <c r="AG2" s="14"/>
      <c r="AH2" s="14"/>
      <c r="AI2" s="14" t="s">
        <v>41</v>
      </c>
      <c r="AJ2" s="14"/>
      <c r="AK2" s="14"/>
      <c r="AL2" s="14"/>
      <c r="AM2" s="14"/>
      <c r="AN2" s="14" t="s">
        <v>42</v>
      </c>
      <c r="AO2" s="14"/>
      <c r="AP2" s="14"/>
      <c r="AQ2" s="14"/>
      <c r="AR2" s="14"/>
      <c r="AS2" s="14" t="s">
        <v>43</v>
      </c>
      <c r="AT2" s="14"/>
      <c r="AU2" s="14"/>
      <c r="AV2" s="14"/>
      <c r="AW2" s="14"/>
    </row>
    <row r="3" customFormat="false" ht="19.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5" t="s">
        <v>44</v>
      </c>
      <c r="K3" s="15" t="s">
        <v>45</v>
      </c>
      <c r="L3" s="15" t="s">
        <v>46</v>
      </c>
      <c r="M3" s="15" t="s">
        <v>47</v>
      </c>
      <c r="N3" s="15" t="s">
        <v>48</v>
      </c>
      <c r="O3" s="15" t="s">
        <v>49</v>
      </c>
      <c r="P3" s="15" t="s">
        <v>50</v>
      </c>
      <c r="Q3" s="15" t="s">
        <v>51</v>
      </c>
      <c r="R3" s="15" t="s">
        <v>52</v>
      </c>
      <c r="S3" s="15" t="s">
        <v>53</v>
      </c>
      <c r="T3" s="15" t="s">
        <v>54</v>
      </c>
      <c r="U3" s="15" t="s">
        <v>55</v>
      </c>
      <c r="V3" s="15" t="s">
        <v>56</v>
      </c>
      <c r="W3" s="15" t="s">
        <v>57</v>
      </c>
      <c r="X3" s="15" t="s">
        <v>58</v>
      </c>
      <c r="Y3" s="15" t="s">
        <v>59</v>
      </c>
      <c r="Z3" s="15" t="s">
        <v>60</v>
      </c>
      <c r="AA3" s="15" t="s">
        <v>61</v>
      </c>
      <c r="AB3" s="15" t="s">
        <v>62</v>
      </c>
      <c r="AC3" s="15" t="s">
        <v>63</v>
      </c>
      <c r="AD3" s="15" t="s">
        <v>64</v>
      </c>
      <c r="AE3" s="15" t="s">
        <v>65</v>
      </c>
      <c r="AF3" s="15" t="s">
        <v>66</v>
      </c>
      <c r="AG3" s="15" t="s">
        <v>44</v>
      </c>
      <c r="AH3" s="15" t="s">
        <v>45</v>
      </c>
      <c r="AI3" s="15" t="s">
        <v>48</v>
      </c>
      <c r="AJ3" s="15" t="s">
        <v>67</v>
      </c>
      <c r="AK3" s="15" t="s">
        <v>68</v>
      </c>
      <c r="AL3" s="15" t="s">
        <v>49</v>
      </c>
      <c r="AM3" s="15" t="s">
        <v>50</v>
      </c>
      <c r="AN3" s="15" t="s">
        <v>53</v>
      </c>
      <c r="AO3" s="15" t="s">
        <v>69</v>
      </c>
      <c r="AP3" s="15" t="s">
        <v>54</v>
      </c>
      <c r="AQ3" s="15" t="s">
        <v>55</v>
      </c>
      <c r="AR3" s="15" t="s">
        <v>56</v>
      </c>
      <c r="AS3" s="15" t="s">
        <v>70</v>
      </c>
      <c r="AT3" s="15" t="s">
        <v>71</v>
      </c>
      <c r="AU3" s="15" t="s">
        <v>59</v>
      </c>
      <c r="AV3" s="15" t="s">
        <v>60</v>
      </c>
      <c r="AW3" s="15" t="s">
        <v>61</v>
      </c>
    </row>
    <row r="4" customFormat="false" ht="21.75" hidden="false" customHeight="true" outlineLevel="0" collapsed="false">
      <c r="A4" s="16" t="n">
        <v>1</v>
      </c>
      <c r="B4" s="17" t="s">
        <v>72</v>
      </c>
      <c r="C4" s="18" t="s">
        <v>73</v>
      </c>
      <c r="D4" s="18" t="s">
        <v>74</v>
      </c>
      <c r="E4" s="16" t="s">
        <v>75</v>
      </c>
      <c r="F4" s="19" t="n">
        <v>46160</v>
      </c>
      <c r="G4" s="19" t="n">
        <v>46160</v>
      </c>
      <c r="H4" s="16" t="n">
        <f aca="false">NETWORKDAYS(F4,G4)</f>
        <v>1</v>
      </c>
      <c r="I4" s="18" t="s">
        <v>76</v>
      </c>
      <c r="J4" s="6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 customFormat="false" ht="21.75" hidden="false" customHeight="true" outlineLevel="0" collapsed="false">
      <c r="A5" s="16" t="n">
        <v>2</v>
      </c>
      <c r="B5" s="17" t="s">
        <v>72</v>
      </c>
      <c r="C5" s="18" t="s">
        <v>77</v>
      </c>
      <c r="D5" s="18" t="s">
        <v>78</v>
      </c>
      <c r="E5" s="16" t="s">
        <v>79</v>
      </c>
      <c r="F5" s="19" t="n">
        <v>46160</v>
      </c>
      <c r="G5" s="19" t="n">
        <v>46161</v>
      </c>
      <c r="H5" s="16" t="n">
        <f aca="false">NETWORKDAYS(F5,G5)</f>
        <v>2</v>
      </c>
      <c r="I5" s="18" t="s">
        <v>80</v>
      </c>
      <c r="J5" s="6"/>
      <c r="K5" s="6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</row>
    <row r="6" customFormat="false" ht="21.75" hidden="false" customHeight="true" outlineLevel="0" collapsed="false">
      <c r="A6" s="16" t="n">
        <v>3</v>
      </c>
      <c r="B6" s="17" t="s">
        <v>72</v>
      </c>
      <c r="C6" s="18" t="s">
        <v>81</v>
      </c>
      <c r="D6" s="18" t="s">
        <v>82</v>
      </c>
      <c r="E6" s="16" t="s">
        <v>79</v>
      </c>
      <c r="F6" s="19" t="n">
        <v>46160</v>
      </c>
      <c r="G6" s="19" t="n">
        <v>46164</v>
      </c>
      <c r="H6" s="16" t="n">
        <f aca="false">NETWORKDAYS(F6,G6)</f>
        <v>5</v>
      </c>
      <c r="I6" s="18" t="s">
        <v>83</v>
      </c>
      <c r="J6" s="6"/>
      <c r="K6" s="6"/>
      <c r="L6" s="6"/>
      <c r="M6" s="6"/>
      <c r="N6" s="6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customFormat="false" ht="21.75" hidden="false" customHeight="true" outlineLevel="0" collapsed="false">
      <c r="A7" s="16" t="n">
        <v>4</v>
      </c>
      <c r="B7" s="17" t="s">
        <v>72</v>
      </c>
      <c r="C7" s="18" t="s">
        <v>84</v>
      </c>
      <c r="D7" s="18" t="s">
        <v>85</v>
      </c>
      <c r="E7" s="16" t="s">
        <v>79</v>
      </c>
      <c r="F7" s="19" t="n">
        <v>46161</v>
      </c>
      <c r="G7" s="19" t="n">
        <v>46164</v>
      </c>
      <c r="H7" s="16" t="n">
        <f aca="false">NETWORKDAYS(F7,G7)</f>
        <v>4</v>
      </c>
      <c r="I7" s="18" t="s">
        <v>86</v>
      </c>
      <c r="J7" s="20"/>
      <c r="K7" s="6"/>
      <c r="L7" s="6"/>
      <c r="M7" s="6"/>
      <c r="N7" s="6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customFormat="false" ht="21.75" hidden="false" customHeight="true" outlineLevel="0" collapsed="false">
      <c r="A8" s="16" t="n">
        <v>5</v>
      </c>
      <c r="B8" s="17" t="s">
        <v>72</v>
      </c>
      <c r="C8" s="18" t="s">
        <v>87</v>
      </c>
      <c r="D8" s="18" t="s">
        <v>78</v>
      </c>
      <c r="E8" s="16" t="s">
        <v>79</v>
      </c>
      <c r="F8" s="19" t="n">
        <v>46160</v>
      </c>
      <c r="G8" s="19" t="n">
        <v>46161</v>
      </c>
      <c r="H8" s="16" t="n">
        <f aca="false">NETWORKDAYS(F8,G8)</f>
        <v>2</v>
      </c>
      <c r="I8" s="18" t="s">
        <v>88</v>
      </c>
      <c r="J8" s="6"/>
      <c r="K8" s="6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customFormat="false" ht="21.75" hidden="false" customHeight="true" outlineLevel="0" collapsed="false">
      <c r="A9" s="16" t="n">
        <v>6</v>
      </c>
      <c r="B9" s="21" t="s">
        <v>89</v>
      </c>
      <c r="C9" s="18" t="s">
        <v>90</v>
      </c>
      <c r="D9" s="18" t="s">
        <v>91</v>
      </c>
      <c r="E9" s="16" t="s">
        <v>79</v>
      </c>
      <c r="F9" s="19" t="n">
        <v>46160</v>
      </c>
      <c r="G9" s="19" t="n">
        <v>46162</v>
      </c>
      <c r="H9" s="16" t="n">
        <f aca="false">NETWORKDAYS(F9,G9)</f>
        <v>3</v>
      </c>
      <c r="I9" s="18" t="s">
        <v>92</v>
      </c>
      <c r="J9" s="11"/>
      <c r="K9" s="11"/>
      <c r="L9" s="11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customFormat="false" ht="21.75" hidden="false" customHeight="true" outlineLevel="0" collapsed="false">
      <c r="A10" s="16" t="n">
        <v>7</v>
      </c>
      <c r="B10" s="21" t="s">
        <v>89</v>
      </c>
      <c r="C10" s="18" t="s">
        <v>93</v>
      </c>
      <c r="D10" s="18" t="s">
        <v>94</v>
      </c>
      <c r="E10" s="16" t="s">
        <v>95</v>
      </c>
      <c r="F10" s="19" t="n">
        <v>46162</v>
      </c>
      <c r="G10" s="19" t="n">
        <v>46178</v>
      </c>
      <c r="H10" s="16" t="n">
        <f aca="false">NETWORKDAYS(F10,G10)</f>
        <v>13</v>
      </c>
      <c r="I10" s="18" t="s">
        <v>96</v>
      </c>
      <c r="J10" s="20"/>
      <c r="K10" s="2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customFormat="false" ht="21.75" hidden="false" customHeight="true" outlineLevel="0" collapsed="false">
      <c r="A11" s="16" t="n">
        <v>8</v>
      </c>
      <c r="B11" s="21" t="s">
        <v>89</v>
      </c>
      <c r="C11" s="18" t="s">
        <v>97</v>
      </c>
      <c r="D11" s="18" t="s">
        <v>98</v>
      </c>
      <c r="E11" s="16" t="s">
        <v>95</v>
      </c>
      <c r="F11" s="19" t="n">
        <v>46167</v>
      </c>
      <c r="G11" s="19" t="n">
        <v>46178</v>
      </c>
      <c r="H11" s="16" t="n">
        <f aca="false">NETWORKDAYS(F11,G11)</f>
        <v>10</v>
      </c>
      <c r="I11" s="18" t="s">
        <v>99</v>
      </c>
      <c r="J11" s="20"/>
      <c r="K11" s="20"/>
      <c r="L11" s="20"/>
      <c r="M11" s="20"/>
      <c r="N11" s="2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customFormat="false" ht="21.75" hidden="false" customHeight="true" outlineLevel="0" collapsed="false">
      <c r="A12" s="16" t="n">
        <v>9</v>
      </c>
      <c r="B12" s="21" t="s">
        <v>89</v>
      </c>
      <c r="C12" s="18" t="s">
        <v>100</v>
      </c>
      <c r="D12" s="18" t="s">
        <v>101</v>
      </c>
      <c r="E12" s="16" t="s">
        <v>102</v>
      </c>
      <c r="F12" s="19" t="n">
        <v>46174</v>
      </c>
      <c r="G12" s="19" t="n">
        <v>46181</v>
      </c>
      <c r="H12" s="16" t="n">
        <f aca="false">NETWORKDAYS(F12,G12)</f>
        <v>6</v>
      </c>
      <c r="I12" s="18" t="s">
        <v>103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11"/>
      <c r="U12" s="11"/>
      <c r="V12" s="11"/>
      <c r="W12" s="11"/>
      <c r="X12" s="11"/>
      <c r="Y12" s="11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customFormat="false" ht="21.75" hidden="false" customHeight="true" outlineLevel="0" collapsed="false">
      <c r="A13" s="16" t="n">
        <v>10</v>
      </c>
      <c r="B13" s="21" t="s">
        <v>89</v>
      </c>
      <c r="C13" s="18" t="s">
        <v>104</v>
      </c>
      <c r="D13" s="18" t="s">
        <v>105</v>
      </c>
      <c r="E13" s="16" t="s">
        <v>106</v>
      </c>
      <c r="F13" s="19" t="n">
        <v>46181</v>
      </c>
      <c r="G13" s="19" t="n">
        <v>46185</v>
      </c>
      <c r="H13" s="16" t="n">
        <f aca="false">NETWORKDAYS(F13,G13)</f>
        <v>5</v>
      </c>
      <c r="I13" s="18" t="s">
        <v>107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11"/>
      <c r="Z13" s="11"/>
      <c r="AA13" s="11"/>
      <c r="AB13" s="11"/>
      <c r="AC13" s="11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</row>
    <row r="14" customFormat="false" ht="21.75" hidden="false" customHeight="true" outlineLevel="0" collapsed="false">
      <c r="A14" s="16" t="n">
        <v>11</v>
      </c>
      <c r="B14" s="17" t="s">
        <v>108</v>
      </c>
      <c r="C14" s="18" t="s">
        <v>109</v>
      </c>
      <c r="D14" s="18" t="s">
        <v>110</v>
      </c>
      <c r="E14" s="16" t="s">
        <v>79</v>
      </c>
      <c r="F14" s="19" t="n">
        <v>46161</v>
      </c>
      <c r="G14" s="19" t="n">
        <v>46163</v>
      </c>
      <c r="H14" s="16" t="n">
        <f aca="false">NETWORKDAYS(F14,G14)</f>
        <v>3</v>
      </c>
      <c r="I14" s="18" t="s">
        <v>111</v>
      </c>
      <c r="J14" s="20"/>
      <c r="K14" s="6"/>
      <c r="L14" s="6"/>
      <c r="M14" s="6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</row>
    <row r="15" customFormat="false" ht="21.75" hidden="false" customHeight="true" outlineLevel="0" collapsed="false">
      <c r="A15" s="16" t="n">
        <v>12</v>
      </c>
      <c r="B15" s="17" t="s">
        <v>108</v>
      </c>
      <c r="C15" s="18" t="s">
        <v>112</v>
      </c>
      <c r="D15" s="18" t="s">
        <v>113</v>
      </c>
      <c r="E15" s="16" t="s">
        <v>79</v>
      </c>
      <c r="F15" s="19" t="n">
        <v>46161</v>
      </c>
      <c r="G15" s="19" t="n">
        <v>46163</v>
      </c>
      <c r="H15" s="16" t="n">
        <f aca="false">NETWORKDAYS(F15,G15)</f>
        <v>3</v>
      </c>
      <c r="I15" s="18" t="s">
        <v>111</v>
      </c>
      <c r="J15" s="20"/>
      <c r="K15" s="6"/>
      <c r="L15" s="6"/>
      <c r="M15" s="6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</row>
    <row r="16" customFormat="false" ht="21.75" hidden="false" customHeight="true" outlineLevel="0" collapsed="false">
      <c r="A16" s="16" t="n">
        <v>13</v>
      </c>
      <c r="B16" s="17" t="s">
        <v>108</v>
      </c>
      <c r="C16" s="18" t="s">
        <v>114</v>
      </c>
      <c r="D16" s="18" t="s">
        <v>115</v>
      </c>
      <c r="E16" s="16" t="s">
        <v>62</v>
      </c>
      <c r="F16" s="19" t="n">
        <v>46164</v>
      </c>
      <c r="G16" s="19" t="n">
        <v>46168</v>
      </c>
      <c r="H16" s="16" t="n">
        <f aca="false">NETWORKDAYS(F16,G16)</f>
        <v>3</v>
      </c>
      <c r="I16" s="18" t="s">
        <v>116</v>
      </c>
      <c r="J16" s="20"/>
      <c r="K16" s="20"/>
      <c r="L16" s="20"/>
      <c r="M16" s="20"/>
      <c r="N16" s="6"/>
      <c r="O16" s="6"/>
      <c r="P16" s="6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 customFormat="false" ht="21.75" hidden="false" customHeight="true" outlineLevel="0" collapsed="false">
      <c r="A17" s="16" t="n">
        <v>14</v>
      </c>
      <c r="B17" s="17" t="s">
        <v>108</v>
      </c>
      <c r="C17" s="18" t="s">
        <v>117</v>
      </c>
      <c r="D17" s="18" t="s">
        <v>118</v>
      </c>
      <c r="E17" s="16" t="s">
        <v>63</v>
      </c>
      <c r="F17" s="19" t="n">
        <v>46164</v>
      </c>
      <c r="G17" s="19" t="n">
        <v>46168</v>
      </c>
      <c r="H17" s="16" t="n">
        <f aca="false">NETWORKDAYS(F17,G17)</f>
        <v>3</v>
      </c>
      <c r="I17" s="18" t="s">
        <v>116</v>
      </c>
      <c r="J17" s="20"/>
      <c r="K17" s="20"/>
      <c r="L17" s="20"/>
      <c r="M17" s="20"/>
      <c r="N17" s="6"/>
      <c r="O17" s="6"/>
      <c r="P17" s="6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</row>
    <row r="18" customFormat="false" ht="21.75" hidden="false" customHeight="true" outlineLevel="0" collapsed="false">
      <c r="A18" s="16" t="n">
        <v>15</v>
      </c>
      <c r="B18" s="17" t="s">
        <v>108</v>
      </c>
      <c r="C18" s="18" t="s">
        <v>119</v>
      </c>
      <c r="D18" s="18" t="s">
        <v>110</v>
      </c>
      <c r="E18" s="16" t="s">
        <v>120</v>
      </c>
      <c r="F18" s="19" t="n">
        <v>46167</v>
      </c>
      <c r="G18" s="19" t="n">
        <v>46169</v>
      </c>
      <c r="H18" s="16" t="n">
        <f aca="false">NETWORKDAYS(F18,G18)</f>
        <v>3</v>
      </c>
      <c r="I18" s="18" t="s">
        <v>121</v>
      </c>
      <c r="J18" s="20"/>
      <c r="K18" s="20"/>
      <c r="L18" s="20"/>
      <c r="M18" s="20"/>
      <c r="N18" s="20"/>
      <c r="O18" s="6"/>
      <c r="P18" s="6"/>
      <c r="Q18" s="6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 customFormat="false" ht="21.75" hidden="false" customHeight="true" outlineLevel="0" collapsed="false">
      <c r="A19" s="16" t="n">
        <v>16</v>
      </c>
      <c r="B19" s="17" t="s">
        <v>108</v>
      </c>
      <c r="C19" s="18" t="s">
        <v>122</v>
      </c>
      <c r="D19" s="18" t="s">
        <v>113</v>
      </c>
      <c r="E19" s="16" t="s">
        <v>123</v>
      </c>
      <c r="F19" s="19" t="n">
        <v>46167</v>
      </c>
      <c r="G19" s="19" t="n">
        <v>46169</v>
      </c>
      <c r="H19" s="16" t="n">
        <f aca="false">NETWORKDAYS(F19,G19)</f>
        <v>3</v>
      </c>
      <c r="I19" s="18" t="s">
        <v>121</v>
      </c>
      <c r="J19" s="20"/>
      <c r="K19" s="20"/>
      <c r="L19" s="20"/>
      <c r="M19" s="20"/>
      <c r="N19" s="20"/>
      <c r="O19" s="6"/>
      <c r="P19" s="6"/>
      <c r="Q19" s="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</row>
    <row r="20" customFormat="false" ht="21.75" hidden="false" customHeight="true" outlineLevel="0" collapsed="false">
      <c r="A20" s="16" t="n">
        <v>17</v>
      </c>
      <c r="B20" s="17" t="s">
        <v>108</v>
      </c>
      <c r="C20" s="18" t="s">
        <v>124</v>
      </c>
      <c r="D20" s="18" t="s">
        <v>125</v>
      </c>
      <c r="E20" s="16" t="s">
        <v>126</v>
      </c>
      <c r="F20" s="19" t="n">
        <v>46169</v>
      </c>
      <c r="G20" s="19" t="n">
        <v>46169</v>
      </c>
      <c r="H20" s="16" t="n">
        <f aca="false">NETWORKDAYS(F20,G20)</f>
        <v>1</v>
      </c>
      <c r="I20" s="18" t="s">
        <v>127</v>
      </c>
      <c r="J20" s="20"/>
      <c r="K20" s="20"/>
      <c r="L20" s="20"/>
      <c r="M20" s="20"/>
      <c r="N20" s="20"/>
      <c r="O20" s="20"/>
      <c r="P20" s="20"/>
      <c r="Q20" s="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</row>
    <row r="21" customFormat="false" ht="21.75" hidden="false" customHeight="true" outlineLevel="0" collapsed="false">
      <c r="A21" s="16" t="n">
        <v>18</v>
      </c>
      <c r="B21" s="17" t="s">
        <v>108</v>
      </c>
      <c r="C21" s="18" t="s">
        <v>128</v>
      </c>
      <c r="D21" s="18" t="s">
        <v>110</v>
      </c>
      <c r="E21" s="16" t="s">
        <v>66</v>
      </c>
      <c r="F21" s="19" t="n">
        <v>46169</v>
      </c>
      <c r="G21" s="19" t="n">
        <v>46171</v>
      </c>
      <c r="H21" s="16" t="n">
        <f aca="false">NETWORKDAYS(F21,G21)</f>
        <v>3</v>
      </c>
      <c r="I21" s="18" t="s">
        <v>129</v>
      </c>
      <c r="J21" s="20"/>
      <c r="K21" s="20"/>
      <c r="L21" s="20"/>
      <c r="M21" s="20"/>
      <c r="N21" s="20"/>
      <c r="O21" s="20"/>
      <c r="P21" s="20"/>
      <c r="Q21" s="6"/>
      <c r="R21" s="6"/>
      <c r="S21" s="6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</row>
    <row r="22" customFormat="false" ht="21.75" hidden="false" customHeight="true" outlineLevel="0" collapsed="false">
      <c r="A22" s="16" t="n">
        <v>19</v>
      </c>
      <c r="B22" s="17" t="s">
        <v>108</v>
      </c>
      <c r="C22" s="18" t="s">
        <v>130</v>
      </c>
      <c r="D22" s="18" t="s">
        <v>113</v>
      </c>
      <c r="E22" s="16" t="s">
        <v>66</v>
      </c>
      <c r="F22" s="19" t="n">
        <v>46169</v>
      </c>
      <c r="G22" s="19" t="n">
        <v>46171</v>
      </c>
      <c r="H22" s="16" t="n">
        <f aca="false">NETWORKDAYS(F22,G22)</f>
        <v>3</v>
      </c>
      <c r="I22" s="18" t="s">
        <v>131</v>
      </c>
      <c r="J22" s="20"/>
      <c r="K22" s="20"/>
      <c r="L22" s="20"/>
      <c r="M22" s="20"/>
      <c r="N22" s="20"/>
      <c r="O22" s="20"/>
      <c r="P22" s="20"/>
      <c r="Q22" s="6"/>
      <c r="R22" s="6"/>
      <c r="S22" s="6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</row>
    <row r="23" customFormat="false" ht="21.75" hidden="false" customHeight="true" outlineLevel="0" collapsed="false">
      <c r="A23" s="16" t="n">
        <v>20</v>
      </c>
      <c r="B23" s="17" t="s">
        <v>108</v>
      </c>
      <c r="C23" s="18" t="s">
        <v>132</v>
      </c>
      <c r="D23" s="18" t="s">
        <v>133</v>
      </c>
      <c r="E23" s="16" t="s">
        <v>134</v>
      </c>
      <c r="F23" s="19" t="n">
        <v>46171</v>
      </c>
      <c r="G23" s="19" t="n">
        <v>46171</v>
      </c>
      <c r="H23" s="16" t="n">
        <f aca="false">NETWORKDAYS(F23,G23)</f>
        <v>1</v>
      </c>
      <c r="I23" s="18" t="s">
        <v>135</v>
      </c>
      <c r="J23" s="20"/>
      <c r="K23" s="20"/>
      <c r="L23" s="20"/>
      <c r="M23" s="20"/>
      <c r="N23" s="20"/>
      <c r="O23" s="20"/>
      <c r="P23" s="20"/>
      <c r="Q23" s="20"/>
      <c r="R23" s="20"/>
      <c r="S23" s="6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</row>
    <row r="24" customFormat="false" ht="21.75" hidden="false" customHeight="true" outlineLevel="0" collapsed="false">
      <c r="A24" s="16" t="n">
        <v>21</v>
      </c>
      <c r="B24" s="22" t="s">
        <v>136</v>
      </c>
      <c r="C24" s="18" t="s">
        <v>137</v>
      </c>
      <c r="D24" s="18" t="s">
        <v>138</v>
      </c>
      <c r="E24" s="16" t="s">
        <v>46</v>
      </c>
      <c r="F24" s="19" t="n">
        <v>46174</v>
      </c>
      <c r="G24" s="19" t="n">
        <v>46176</v>
      </c>
      <c r="H24" s="16" t="n">
        <f aca="false">NETWORKDAYS(F24,G24)</f>
        <v>3</v>
      </c>
      <c r="I24" s="18" t="s">
        <v>139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8"/>
      <c r="U24" s="8"/>
      <c r="V24" s="8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5" customFormat="false" ht="21.75" hidden="false" customHeight="true" outlineLevel="0" collapsed="false">
      <c r="A25" s="16" t="n">
        <v>22</v>
      </c>
      <c r="B25" s="22" t="s">
        <v>136</v>
      </c>
      <c r="C25" s="18" t="s">
        <v>140</v>
      </c>
      <c r="D25" s="18" t="s">
        <v>141</v>
      </c>
      <c r="E25" s="16" t="s">
        <v>46</v>
      </c>
      <c r="F25" s="19" t="n">
        <v>46174</v>
      </c>
      <c r="G25" s="19" t="n">
        <v>46176</v>
      </c>
      <c r="H25" s="16" t="n">
        <f aca="false">NETWORKDAYS(F25,G25)</f>
        <v>3</v>
      </c>
      <c r="I25" s="18" t="s">
        <v>142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8"/>
      <c r="U25" s="8"/>
      <c r="V25" s="8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</row>
    <row r="26" customFormat="false" ht="21.75" hidden="false" customHeight="true" outlineLevel="0" collapsed="false">
      <c r="A26" s="16" t="n">
        <v>23</v>
      </c>
      <c r="B26" s="22" t="s">
        <v>136</v>
      </c>
      <c r="C26" s="18" t="s">
        <v>143</v>
      </c>
      <c r="D26" s="18" t="s">
        <v>91</v>
      </c>
      <c r="E26" s="16" t="s">
        <v>46</v>
      </c>
      <c r="F26" s="19" t="n">
        <v>46175</v>
      </c>
      <c r="G26" s="19" t="n">
        <v>46178</v>
      </c>
      <c r="H26" s="16" t="n">
        <f aca="false">NETWORKDAYS(F26,G26)</f>
        <v>4</v>
      </c>
      <c r="I26" s="18" t="s">
        <v>144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8"/>
      <c r="V26" s="8"/>
      <c r="W26" s="8"/>
      <c r="X26" s="8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</row>
    <row r="27" customFormat="false" ht="21.75" hidden="false" customHeight="true" outlineLevel="0" collapsed="false">
      <c r="A27" s="16" t="n">
        <v>24</v>
      </c>
      <c r="B27" s="22" t="s">
        <v>136</v>
      </c>
      <c r="C27" s="18" t="s">
        <v>145</v>
      </c>
      <c r="D27" s="18" t="s">
        <v>146</v>
      </c>
      <c r="E27" s="16" t="s">
        <v>46</v>
      </c>
      <c r="F27" s="19" t="n">
        <v>46174</v>
      </c>
      <c r="G27" s="19" t="n">
        <v>46177</v>
      </c>
      <c r="H27" s="16" t="n">
        <f aca="false">NETWORKDAYS(F27,G27)</f>
        <v>4</v>
      </c>
      <c r="I27" s="18" t="s">
        <v>147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8"/>
      <c r="U27" s="8"/>
      <c r="V27" s="8"/>
      <c r="W27" s="8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</row>
    <row r="28" customFormat="false" ht="21.75" hidden="false" customHeight="true" outlineLevel="0" collapsed="false">
      <c r="A28" s="16" t="n">
        <v>25</v>
      </c>
      <c r="B28" s="22" t="s">
        <v>136</v>
      </c>
      <c r="C28" s="18" t="s">
        <v>148</v>
      </c>
      <c r="D28" s="18" t="s">
        <v>146</v>
      </c>
      <c r="E28" s="16" t="s">
        <v>46</v>
      </c>
      <c r="F28" s="19" t="n">
        <v>46174</v>
      </c>
      <c r="G28" s="19" t="n">
        <v>46177</v>
      </c>
      <c r="H28" s="16" t="n">
        <f aca="false">NETWORKDAYS(F28,G28)</f>
        <v>4</v>
      </c>
      <c r="I28" s="18" t="s">
        <v>147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8"/>
      <c r="U28" s="8"/>
      <c r="V28" s="8"/>
      <c r="W28" s="8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</row>
    <row r="29" customFormat="false" ht="21.75" hidden="false" customHeight="true" outlineLevel="0" collapsed="false">
      <c r="A29" s="16" t="n">
        <v>26</v>
      </c>
      <c r="B29" s="22" t="s">
        <v>136</v>
      </c>
      <c r="C29" s="18" t="s">
        <v>149</v>
      </c>
      <c r="D29" s="18" t="s">
        <v>150</v>
      </c>
      <c r="E29" s="16" t="s">
        <v>46</v>
      </c>
      <c r="F29" s="19" t="n">
        <v>46176</v>
      </c>
      <c r="G29" s="19" t="n">
        <v>46178</v>
      </c>
      <c r="H29" s="16" t="n">
        <f aca="false">NETWORKDAYS(F29,G29)</f>
        <v>3</v>
      </c>
      <c r="I29" s="18" t="s">
        <v>151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8"/>
      <c r="W29" s="8"/>
      <c r="X29" s="8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</row>
    <row r="30" customFormat="false" ht="21.75" hidden="false" customHeight="true" outlineLevel="0" collapsed="false">
      <c r="A30" s="16" t="n">
        <v>27</v>
      </c>
      <c r="B30" s="22" t="s">
        <v>136</v>
      </c>
      <c r="C30" s="18" t="s">
        <v>152</v>
      </c>
      <c r="D30" s="18" t="s">
        <v>153</v>
      </c>
      <c r="E30" s="16" t="s">
        <v>154</v>
      </c>
      <c r="F30" s="19" t="n">
        <v>46178</v>
      </c>
      <c r="G30" s="19" t="n">
        <v>46178</v>
      </c>
      <c r="H30" s="16" t="n">
        <f aca="false">NETWORKDAYS(F30,G30)</f>
        <v>1</v>
      </c>
      <c r="I30" s="18" t="s">
        <v>155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8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</row>
    <row r="31" customFormat="false" ht="21.75" hidden="false" customHeight="true" outlineLevel="0" collapsed="false">
      <c r="A31" s="16" t="n">
        <v>28</v>
      </c>
      <c r="B31" s="23" t="s">
        <v>156</v>
      </c>
      <c r="C31" s="18" t="s">
        <v>157</v>
      </c>
      <c r="D31" s="18" t="s">
        <v>158</v>
      </c>
      <c r="E31" s="16" t="s">
        <v>67</v>
      </c>
      <c r="F31" s="19" t="n">
        <v>46176</v>
      </c>
      <c r="G31" s="19" t="n">
        <v>46178</v>
      </c>
      <c r="H31" s="16" t="n">
        <f aca="false">NETWORKDAYS(F31,G31)</f>
        <v>3</v>
      </c>
      <c r="I31" s="18" t="s">
        <v>159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9"/>
      <c r="W31" s="9"/>
      <c r="X31" s="9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</row>
    <row r="32" customFormat="false" ht="21.75" hidden="false" customHeight="true" outlineLevel="0" collapsed="false">
      <c r="A32" s="16" t="n">
        <v>29</v>
      </c>
      <c r="B32" s="23" t="s">
        <v>156</v>
      </c>
      <c r="C32" s="18" t="s">
        <v>160</v>
      </c>
      <c r="D32" s="18" t="s">
        <v>161</v>
      </c>
      <c r="E32" s="16" t="s">
        <v>51</v>
      </c>
      <c r="F32" s="19" t="n">
        <v>46177</v>
      </c>
      <c r="G32" s="19" t="n">
        <v>46183</v>
      </c>
      <c r="H32" s="16" t="n">
        <f aca="false">NETWORKDAYS(F32,G32)</f>
        <v>5</v>
      </c>
      <c r="I32" s="18" t="s">
        <v>162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9"/>
      <c r="X32" s="9"/>
      <c r="Y32" s="9"/>
      <c r="Z32" s="9"/>
      <c r="AA32" s="9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customFormat="false" ht="21.75" hidden="false" customHeight="true" outlineLevel="0" collapsed="false">
      <c r="A33" s="16" t="n">
        <v>30</v>
      </c>
      <c r="B33" s="23" t="s">
        <v>156</v>
      </c>
      <c r="C33" s="18" t="s">
        <v>163</v>
      </c>
      <c r="D33" s="18" t="s">
        <v>164</v>
      </c>
      <c r="E33" s="16" t="s">
        <v>51</v>
      </c>
      <c r="F33" s="19" t="n">
        <v>46177</v>
      </c>
      <c r="G33" s="19" t="n">
        <v>46183</v>
      </c>
      <c r="H33" s="16" t="n">
        <f aca="false">NETWORKDAYS(F33,G33)</f>
        <v>5</v>
      </c>
      <c r="I33" s="18" t="s">
        <v>165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9"/>
      <c r="X33" s="9"/>
      <c r="Y33" s="9"/>
      <c r="Z33" s="9"/>
      <c r="AA33" s="9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</row>
    <row r="34" customFormat="false" ht="21.75" hidden="false" customHeight="true" outlineLevel="0" collapsed="false">
      <c r="A34" s="16" t="n">
        <v>31</v>
      </c>
      <c r="B34" s="23" t="s">
        <v>156</v>
      </c>
      <c r="C34" s="18" t="s">
        <v>166</v>
      </c>
      <c r="D34" s="18" t="s">
        <v>167</v>
      </c>
      <c r="E34" s="16" t="s">
        <v>168</v>
      </c>
      <c r="F34" s="19" t="n">
        <v>46178</v>
      </c>
      <c r="G34" s="19" t="n">
        <v>46184</v>
      </c>
      <c r="H34" s="16" t="n">
        <f aca="false">NETWORKDAYS(F34,G34)</f>
        <v>5</v>
      </c>
      <c r="I34" s="18" t="s">
        <v>169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9"/>
      <c r="Y34" s="9"/>
      <c r="Z34" s="9"/>
      <c r="AA34" s="9"/>
      <c r="AB34" s="9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</row>
    <row r="35" customFormat="false" ht="21.75" hidden="false" customHeight="true" outlineLevel="0" collapsed="false">
      <c r="A35" s="16" t="n">
        <v>32</v>
      </c>
      <c r="B35" s="23" t="s">
        <v>156</v>
      </c>
      <c r="C35" s="18" t="s">
        <v>170</v>
      </c>
      <c r="D35" s="18" t="s">
        <v>171</v>
      </c>
      <c r="E35" s="16" t="s">
        <v>172</v>
      </c>
      <c r="F35" s="19" t="n">
        <v>46178</v>
      </c>
      <c r="G35" s="19" t="n">
        <v>46184</v>
      </c>
      <c r="H35" s="16" t="n">
        <f aca="false">NETWORKDAYS(F35,G35)</f>
        <v>5</v>
      </c>
      <c r="I35" s="18" t="s">
        <v>173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9"/>
      <c r="Y35" s="9"/>
      <c r="Z35" s="9"/>
      <c r="AA35" s="9"/>
      <c r="AB35" s="9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</row>
    <row r="36" customFormat="false" ht="21.75" hidden="false" customHeight="true" outlineLevel="0" collapsed="false">
      <c r="A36" s="16" t="n">
        <v>33</v>
      </c>
      <c r="B36" s="23" t="s">
        <v>156</v>
      </c>
      <c r="C36" s="18" t="s">
        <v>174</v>
      </c>
      <c r="D36" s="18" t="s">
        <v>175</v>
      </c>
      <c r="E36" s="16" t="s">
        <v>176</v>
      </c>
      <c r="F36" s="19" t="n">
        <v>46181</v>
      </c>
      <c r="G36" s="19" t="n">
        <v>46184</v>
      </c>
      <c r="H36" s="16" t="n">
        <f aca="false">NETWORKDAYS(F36,G36)</f>
        <v>4</v>
      </c>
      <c r="I36" s="18" t="s">
        <v>177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9"/>
      <c r="Z36" s="9"/>
      <c r="AA36" s="9"/>
      <c r="AB36" s="9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</row>
    <row r="37" customFormat="false" ht="21.75" hidden="false" customHeight="true" outlineLevel="0" collapsed="false">
      <c r="A37" s="16" t="n">
        <v>34</v>
      </c>
      <c r="B37" s="23" t="s">
        <v>156</v>
      </c>
      <c r="C37" s="18" t="s">
        <v>178</v>
      </c>
      <c r="D37" s="18" t="s">
        <v>94</v>
      </c>
      <c r="E37" s="16" t="s">
        <v>179</v>
      </c>
      <c r="F37" s="19" t="n">
        <v>46183</v>
      </c>
      <c r="G37" s="19" t="n">
        <v>46184</v>
      </c>
      <c r="H37" s="16" t="n">
        <f aca="false">NETWORKDAYS(F37,G37)</f>
        <v>2</v>
      </c>
      <c r="I37" s="18" t="s">
        <v>180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9"/>
      <c r="AB37" s="9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</row>
    <row r="38" customFormat="false" ht="21.75" hidden="false" customHeight="true" outlineLevel="0" collapsed="false">
      <c r="A38" s="16" t="n">
        <v>35</v>
      </c>
      <c r="B38" s="24" t="s">
        <v>181</v>
      </c>
      <c r="C38" s="18" t="s">
        <v>182</v>
      </c>
      <c r="D38" s="18" t="s">
        <v>183</v>
      </c>
      <c r="E38" s="16" t="s">
        <v>46</v>
      </c>
      <c r="F38" s="19" t="n">
        <v>46178</v>
      </c>
      <c r="G38" s="19" t="n">
        <v>46182</v>
      </c>
      <c r="H38" s="16" t="n">
        <f aca="false">NETWORKDAYS(F38,G38)</f>
        <v>3</v>
      </c>
      <c r="I38" s="18" t="s">
        <v>184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0"/>
      <c r="Y38" s="10"/>
      <c r="Z38" s="1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</row>
    <row r="39" customFormat="false" ht="21.75" hidden="false" customHeight="true" outlineLevel="0" collapsed="false">
      <c r="A39" s="16" t="n">
        <v>36</v>
      </c>
      <c r="B39" s="24" t="s">
        <v>181</v>
      </c>
      <c r="C39" s="18" t="s">
        <v>185</v>
      </c>
      <c r="D39" s="18" t="s">
        <v>186</v>
      </c>
      <c r="E39" s="16" t="s">
        <v>187</v>
      </c>
      <c r="F39" s="19" t="n">
        <v>46183</v>
      </c>
      <c r="G39" s="19" t="n">
        <v>46184</v>
      </c>
      <c r="H39" s="16" t="n">
        <f aca="false">NETWORKDAYS(F39,G39)</f>
        <v>2</v>
      </c>
      <c r="I39" s="18" t="s">
        <v>188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10"/>
      <c r="AB39" s="1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</row>
    <row r="40" customFormat="false" ht="21.75" hidden="false" customHeight="true" outlineLevel="0" collapsed="false">
      <c r="A40" s="16" t="n">
        <v>37</v>
      </c>
      <c r="B40" s="24" t="s">
        <v>181</v>
      </c>
      <c r="C40" s="18" t="s">
        <v>189</v>
      </c>
      <c r="D40" s="18" t="s">
        <v>190</v>
      </c>
      <c r="E40" s="16" t="s">
        <v>187</v>
      </c>
      <c r="F40" s="19" t="n">
        <v>46183</v>
      </c>
      <c r="G40" s="19" t="n">
        <v>46184</v>
      </c>
      <c r="H40" s="16" t="n">
        <f aca="false">NETWORKDAYS(F40,G40)</f>
        <v>2</v>
      </c>
      <c r="I40" s="18" t="s">
        <v>188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10"/>
      <c r="AB40" s="1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</row>
    <row r="41" customFormat="false" ht="21.75" hidden="false" customHeight="true" outlineLevel="0" collapsed="false">
      <c r="A41" s="16" t="n">
        <v>38</v>
      </c>
      <c r="B41" s="24" t="s">
        <v>181</v>
      </c>
      <c r="C41" s="18" t="s">
        <v>191</v>
      </c>
      <c r="D41" s="18" t="s">
        <v>175</v>
      </c>
      <c r="E41" s="16" t="s">
        <v>192</v>
      </c>
      <c r="F41" s="19" t="n">
        <v>46184</v>
      </c>
      <c r="G41" s="19" t="n">
        <v>46185</v>
      </c>
      <c r="H41" s="16" t="n">
        <f aca="false">NETWORKDAYS(F41,G41)</f>
        <v>2</v>
      </c>
      <c r="I41" s="18" t="s">
        <v>193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"/>
      <c r="AC41" s="1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</row>
    <row r="42" customFormat="false" ht="21.75" hidden="false" customHeight="true" outlineLevel="0" collapsed="false">
      <c r="A42" s="16" t="n">
        <v>39</v>
      </c>
      <c r="B42" s="24" t="s">
        <v>181</v>
      </c>
      <c r="C42" s="18" t="s">
        <v>194</v>
      </c>
      <c r="D42" s="18" t="s">
        <v>195</v>
      </c>
      <c r="E42" s="16" t="s">
        <v>196</v>
      </c>
      <c r="F42" s="19" t="n">
        <v>46185</v>
      </c>
      <c r="G42" s="19" t="n">
        <v>46185</v>
      </c>
      <c r="H42" s="16" t="n">
        <f aca="false">NETWORKDAYS(F42,G42)</f>
        <v>1</v>
      </c>
      <c r="I42" s="18" t="s">
        <v>197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1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</row>
    <row r="43" customFormat="false" ht="21.75" hidden="false" customHeight="true" outlineLevel="0" collapsed="false">
      <c r="A43" s="16" t="n">
        <v>40</v>
      </c>
      <c r="B43" s="17" t="s">
        <v>198</v>
      </c>
      <c r="C43" s="18" t="s">
        <v>199</v>
      </c>
      <c r="D43" s="18" t="s">
        <v>110</v>
      </c>
      <c r="E43" s="16" t="s">
        <v>200</v>
      </c>
      <c r="F43" s="19" t="n">
        <v>46188</v>
      </c>
      <c r="G43" s="19" t="n">
        <v>46190</v>
      </c>
      <c r="H43" s="16" t="n">
        <f aca="false">NETWORKDAYS(F43,G43)</f>
        <v>3</v>
      </c>
      <c r="I43" s="18" t="s">
        <v>111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6"/>
      <c r="AE43" s="6"/>
      <c r="AF43" s="6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 customFormat="false" ht="21.75" hidden="false" customHeight="true" outlineLevel="0" collapsed="false">
      <c r="A44" s="16" t="n">
        <v>41</v>
      </c>
      <c r="B44" s="17" t="s">
        <v>198</v>
      </c>
      <c r="C44" s="18" t="s">
        <v>201</v>
      </c>
      <c r="D44" s="18" t="s">
        <v>113</v>
      </c>
      <c r="E44" s="16" t="s">
        <v>200</v>
      </c>
      <c r="F44" s="19" t="n">
        <v>46188</v>
      </c>
      <c r="G44" s="19" t="n">
        <v>46190</v>
      </c>
      <c r="H44" s="16" t="n">
        <f aca="false">NETWORKDAYS(F44,G44)</f>
        <v>3</v>
      </c>
      <c r="I44" s="18" t="s">
        <v>111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6"/>
      <c r="AE44" s="6"/>
      <c r="AF44" s="6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</row>
    <row r="45" customFormat="false" ht="21.75" hidden="false" customHeight="true" outlineLevel="0" collapsed="false">
      <c r="A45" s="16" t="n">
        <v>42</v>
      </c>
      <c r="B45" s="17" t="s">
        <v>198</v>
      </c>
      <c r="C45" s="18" t="s">
        <v>202</v>
      </c>
      <c r="D45" s="18" t="s">
        <v>203</v>
      </c>
      <c r="E45" s="16" t="s">
        <v>200</v>
      </c>
      <c r="F45" s="19" t="n">
        <v>46188</v>
      </c>
      <c r="G45" s="19" t="n">
        <v>46190</v>
      </c>
      <c r="H45" s="16" t="n">
        <f aca="false">NETWORKDAYS(F45,G45)</f>
        <v>3</v>
      </c>
      <c r="I45" s="18" t="s">
        <v>111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6"/>
      <c r="AE45" s="6"/>
      <c r="AF45" s="6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</row>
    <row r="46" customFormat="false" ht="21.75" hidden="false" customHeight="true" outlineLevel="0" collapsed="false">
      <c r="A46" s="16" t="n">
        <v>43</v>
      </c>
      <c r="B46" s="17" t="s">
        <v>198</v>
      </c>
      <c r="C46" s="18" t="s">
        <v>204</v>
      </c>
      <c r="D46" s="18" t="s">
        <v>205</v>
      </c>
      <c r="E46" s="16" t="s">
        <v>200</v>
      </c>
      <c r="F46" s="19" t="n">
        <v>46188</v>
      </c>
      <c r="G46" s="19" t="n">
        <v>46190</v>
      </c>
      <c r="H46" s="16" t="n">
        <f aca="false">NETWORKDAYS(F46,G46)</f>
        <v>3</v>
      </c>
      <c r="I46" s="18" t="s">
        <v>111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6"/>
      <c r="AE46" s="6"/>
      <c r="AF46" s="6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</row>
    <row r="47" customFormat="false" ht="21.75" hidden="false" customHeight="true" outlineLevel="0" collapsed="false">
      <c r="A47" s="16" t="n">
        <v>44</v>
      </c>
      <c r="B47" s="17" t="s">
        <v>198</v>
      </c>
      <c r="C47" s="18" t="s">
        <v>206</v>
      </c>
      <c r="D47" s="18" t="s">
        <v>207</v>
      </c>
      <c r="E47" s="16" t="s">
        <v>208</v>
      </c>
      <c r="F47" s="19" t="n">
        <v>46191</v>
      </c>
      <c r="G47" s="19" t="n">
        <v>46192</v>
      </c>
      <c r="H47" s="16" t="n">
        <f aca="false">NETWORKDAYS(F47,G47)</f>
        <v>2</v>
      </c>
      <c r="I47" s="18" t="s">
        <v>116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6"/>
      <c r="AH47" s="6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</row>
    <row r="48" customFormat="false" ht="21.75" hidden="false" customHeight="true" outlineLevel="0" collapsed="false">
      <c r="A48" s="16" t="n">
        <v>45</v>
      </c>
      <c r="B48" s="17" t="s">
        <v>198</v>
      </c>
      <c r="C48" s="18" t="s">
        <v>209</v>
      </c>
      <c r="D48" s="18" t="s">
        <v>210</v>
      </c>
      <c r="E48" s="16" t="s">
        <v>211</v>
      </c>
      <c r="F48" s="19" t="n">
        <v>46192</v>
      </c>
      <c r="G48" s="19" t="n">
        <v>46195</v>
      </c>
      <c r="H48" s="16" t="n">
        <f aca="false">NETWORKDAYS(F48,G48)</f>
        <v>2</v>
      </c>
      <c r="I48" s="18" t="s">
        <v>212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6"/>
      <c r="AI48" s="6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 customFormat="false" ht="21.75" hidden="false" customHeight="true" outlineLevel="0" collapsed="false">
      <c r="A49" s="16" t="n">
        <v>46</v>
      </c>
      <c r="B49" s="17" t="s">
        <v>198</v>
      </c>
      <c r="C49" s="18" t="s">
        <v>213</v>
      </c>
      <c r="D49" s="18" t="s">
        <v>133</v>
      </c>
      <c r="E49" s="16" t="s">
        <v>214</v>
      </c>
      <c r="F49" s="19" t="n">
        <v>46195</v>
      </c>
      <c r="G49" s="19" t="n">
        <v>46195</v>
      </c>
      <c r="H49" s="16" t="n">
        <f aca="false">NETWORKDAYS(F49,G49)</f>
        <v>1</v>
      </c>
      <c r="I49" s="18" t="s">
        <v>135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6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</row>
    <row r="50" customFormat="false" ht="21.75" hidden="false" customHeight="true" outlineLevel="0" collapsed="false">
      <c r="A50" s="16" t="n">
        <v>47</v>
      </c>
      <c r="B50" s="22" t="s">
        <v>215</v>
      </c>
      <c r="C50" s="18" t="s">
        <v>216</v>
      </c>
      <c r="D50" s="18" t="s">
        <v>217</v>
      </c>
      <c r="E50" s="16" t="s">
        <v>218</v>
      </c>
      <c r="F50" s="19" t="n">
        <v>46196</v>
      </c>
      <c r="G50" s="19" t="n">
        <v>46198</v>
      </c>
      <c r="H50" s="16" t="n">
        <f aca="false">NETWORKDAYS(F50,G50)</f>
        <v>3</v>
      </c>
      <c r="I50" s="18" t="s">
        <v>219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8"/>
      <c r="AK50" s="8"/>
      <c r="AL50" s="8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 customFormat="false" ht="21.75" hidden="false" customHeight="true" outlineLevel="0" collapsed="false">
      <c r="A51" s="16" t="n">
        <v>48</v>
      </c>
      <c r="B51" s="22" t="s">
        <v>215</v>
      </c>
      <c r="C51" s="18" t="s">
        <v>220</v>
      </c>
      <c r="D51" s="18" t="s">
        <v>91</v>
      </c>
      <c r="E51" s="16" t="s">
        <v>218</v>
      </c>
      <c r="F51" s="19" t="n">
        <v>46196</v>
      </c>
      <c r="G51" s="19" t="n">
        <v>46198</v>
      </c>
      <c r="H51" s="16" t="n">
        <f aca="false">NETWORKDAYS(F51,G51)</f>
        <v>3</v>
      </c>
      <c r="I51" s="18" t="s">
        <v>144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8"/>
      <c r="AK51" s="8"/>
      <c r="AL51" s="8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customFormat="false" ht="21.75" hidden="false" customHeight="true" outlineLevel="0" collapsed="false">
      <c r="A52" s="16" t="n">
        <v>49</v>
      </c>
      <c r="B52" s="22" t="s">
        <v>215</v>
      </c>
      <c r="C52" s="18" t="s">
        <v>221</v>
      </c>
      <c r="D52" s="18" t="s">
        <v>146</v>
      </c>
      <c r="E52" s="16" t="s">
        <v>218</v>
      </c>
      <c r="F52" s="19" t="n">
        <v>46196</v>
      </c>
      <c r="G52" s="19" t="n">
        <v>46199</v>
      </c>
      <c r="H52" s="16" t="n">
        <f aca="false">NETWORKDAYS(F52,G52)</f>
        <v>4</v>
      </c>
      <c r="I52" s="18" t="s">
        <v>222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8"/>
      <c r="AK52" s="8"/>
      <c r="AL52" s="8"/>
      <c r="AM52" s="8"/>
      <c r="AN52" s="20"/>
      <c r="AO52" s="20"/>
      <c r="AP52" s="20"/>
      <c r="AQ52" s="20"/>
      <c r="AR52" s="20"/>
      <c r="AS52" s="20"/>
      <c r="AT52" s="20"/>
      <c r="AU52" s="20"/>
      <c r="AV52" s="20"/>
      <c r="AW52" s="20"/>
    </row>
    <row r="53" customFormat="false" ht="21.75" hidden="false" customHeight="true" outlineLevel="0" collapsed="false">
      <c r="A53" s="16" t="n">
        <v>50</v>
      </c>
      <c r="B53" s="22" t="s">
        <v>215</v>
      </c>
      <c r="C53" s="18" t="s">
        <v>223</v>
      </c>
      <c r="D53" s="18" t="s">
        <v>153</v>
      </c>
      <c r="E53" s="16" t="s">
        <v>224</v>
      </c>
      <c r="F53" s="19" t="n">
        <v>46199</v>
      </c>
      <c r="G53" s="19" t="n">
        <v>46199</v>
      </c>
      <c r="H53" s="16" t="n">
        <f aca="false">NETWORKDAYS(F53,G53)</f>
        <v>1</v>
      </c>
      <c r="I53" s="18" t="s">
        <v>155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8"/>
      <c r="AN53" s="20"/>
      <c r="AO53" s="20"/>
      <c r="AP53" s="20"/>
      <c r="AQ53" s="20"/>
      <c r="AR53" s="20"/>
      <c r="AS53" s="20"/>
      <c r="AT53" s="20"/>
      <c r="AU53" s="20"/>
      <c r="AV53" s="20"/>
      <c r="AW53" s="20"/>
    </row>
    <row r="54" customFormat="false" ht="21.75" hidden="false" customHeight="true" outlineLevel="0" collapsed="false">
      <c r="A54" s="16" t="n">
        <v>51</v>
      </c>
      <c r="B54" s="23" t="s">
        <v>225</v>
      </c>
      <c r="C54" s="18" t="s">
        <v>226</v>
      </c>
      <c r="D54" s="18" t="s">
        <v>158</v>
      </c>
      <c r="E54" s="16" t="s">
        <v>227</v>
      </c>
      <c r="F54" s="19" t="n">
        <v>46196</v>
      </c>
      <c r="G54" s="19" t="n">
        <v>46198</v>
      </c>
      <c r="H54" s="16" t="n">
        <f aca="false">NETWORKDAYS(F54,G54)</f>
        <v>3</v>
      </c>
      <c r="I54" s="18" t="s">
        <v>159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9"/>
      <c r="AK54" s="9"/>
      <c r="AL54" s="9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</row>
    <row r="55" customFormat="false" ht="21.75" hidden="false" customHeight="true" outlineLevel="0" collapsed="false">
      <c r="A55" s="16" t="n">
        <v>52</v>
      </c>
      <c r="B55" s="23" t="s">
        <v>225</v>
      </c>
      <c r="C55" s="18" t="s">
        <v>228</v>
      </c>
      <c r="D55" s="18" t="s">
        <v>229</v>
      </c>
      <c r="E55" s="16" t="s">
        <v>230</v>
      </c>
      <c r="F55" s="19" t="n">
        <v>46198</v>
      </c>
      <c r="G55" s="19" t="n">
        <v>46206</v>
      </c>
      <c r="H55" s="16" t="n">
        <f aca="false">NETWORKDAYS(F55,G55)</f>
        <v>7</v>
      </c>
      <c r="I55" s="18" t="s">
        <v>231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9"/>
      <c r="AM55" s="9"/>
      <c r="AN55" s="9"/>
      <c r="AO55" s="9"/>
      <c r="AP55" s="9"/>
      <c r="AQ55" s="9"/>
      <c r="AR55" s="9"/>
      <c r="AS55" s="20"/>
      <c r="AT55" s="20"/>
      <c r="AU55" s="20"/>
      <c r="AV55" s="20"/>
      <c r="AW55" s="20"/>
    </row>
    <row r="56" customFormat="false" ht="21.75" hidden="false" customHeight="true" outlineLevel="0" collapsed="false">
      <c r="A56" s="16" t="n">
        <v>53</v>
      </c>
      <c r="B56" s="23" t="s">
        <v>225</v>
      </c>
      <c r="C56" s="18" t="s">
        <v>232</v>
      </c>
      <c r="D56" s="18" t="s">
        <v>233</v>
      </c>
      <c r="E56" s="16" t="s">
        <v>230</v>
      </c>
      <c r="F56" s="19" t="n">
        <v>46198</v>
      </c>
      <c r="G56" s="19" t="n">
        <v>46206</v>
      </c>
      <c r="H56" s="16" t="n">
        <f aca="false">NETWORKDAYS(F56,G56)</f>
        <v>7</v>
      </c>
      <c r="I56" s="18" t="s">
        <v>231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9"/>
      <c r="AM56" s="9"/>
      <c r="AN56" s="9"/>
      <c r="AO56" s="9"/>
      <c r="AP56" s="9"/>
      <c r="AQ56" s="9"/>
      <c r="AR56" s="9"/>
      <c r="AS56" s="20"/>
      <c r="AT56" s="20"/>
      <c r="AU56" s="20"/>
      <c r="AV56" s="20"/>
      <c r="AW56" s="20"/>
    </row>
    <row r="57" customFormat="false" ht="21.75" hidden="false" customHeight="true" outlineLevel="0" collapsed="false">
      <c r="A57" s="16" t="n">
        <v>54</v>
      </c>
      <c r="B57" s="23" t="s">
        <v>225</v>
      </c>
      <c r="C57" s="18" t="s">
        <v>234</v>
      </c>
      <c r="D57" s="18" t="s">
        <v>235</v>
      </c>
      <c r="E57" s="16" t="s">
        <v>230</v>
      </c>
      <c r="F57" s="19" t="n">
        <v>46198</v>
      </c>
      <c r="G57" s="19" t="n">
        <v>46206</v>
      </c>
      <c r="H57" s="16" t="n">
        <f aca="false">NETWORKDAYS(F57,G57)</f>
        <v>7</v>
      </c>
      <c r="I57" s="18" t="s">
        <v>231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9"/>
      <c r="AM57" s="9"/>
      <c r="AN57" s="9"/>
      <c r="AO57" s="9"/>
      <c r="AP57" s="9"/>
      <c r="AQ57" s="9"/>
      <c r="AR57" s="9"/>
      <c r="AS57" s="20"/>
      <c r="AT57" s="20"/>
      <c r="AU57" s="20"/>
      <c r="AV57" s="20"/>
      <c r="AW57" s="20"/>
    </row>
    <row r="58" customFormat="false" ht="21.75" hidden="false" customHeight="true" outlineLevel="0" collapsed="false">
      <c r="A58" s="16" t="n">
        <v>55</v>
      </c>
      <c r="B58" s="23" t="s">
        <v>225</v>
      </c>
      <c r="C58" s="18" t="s">
        <v>236</v>
      </c>
      <c r="D58" s="18" t="s">
        <v>237</v>
      </c>
      <c r="E58" s="16" t="s">
        <v>230</v>
      </c>
      <c r="F58" s="19" t="n">
        <v>46198</v>
      </c>
      <c r="G58" s="19" t="n">
        <v>46206</v>
      </c>
      <c r="H58" s="16" t="n">
        <f aca="false">NETWORKDAYS(F58,G58)</f>
        <v>7</v>
      </c>
      <c r="I58" s="18" t="s">
        <v>231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9"/>
      <c r="AM58" s="9"/>
      <c r="AN58" s="9"/>
      <c r="AO58" s="9"/>
      <c r="AP58" s="9"/>
      <c r="AQ58" s="9"/>
      <c r="AR58" s="9"/>
      <c r="AS58" s="20"/>
      <c r="AT58" s="20"/>
      <c r="AU58" s="20"/>
      <c r="AV58" s="20"/>
      <c r="AW58" s="20"/>
    </row>
    <row r="59" customFormat="false" ht="21.75" hidden="false" customHeight="true" outlineLevel="0" collapsed="false">
      <c r="A59" s="16" t="n">
        <v>56</v>
      </c>
      <c r="B59" s="23" t="s">
        <v>225</v>
      </c>
      <c r="C59" s="18" t="s">
        <v>238</v>
      </c>
      <c r="D59" s="18" t="s">
        <v>239</v>
      </c>
      <c r="E59" s="16" t="s">
        <v>240</v>
      </c>
      <c r="F59" s="19" t="n">
        <v>46199</v>
      </c>
      <c r="G59" s="19" t="n">
        <v>46206</v>
      </c>
      <c r="H59" s="16" t="n">
        <f aca="false">NETWORKDAYS(F59,G59)</f>
        <v>6</v>
      </c>
      <c r="I59" s="18" t="s">
        <v>241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9"/>
      <c r="AN59" s="9"/>
      <c r="AO59" s="9"/>
      <c r="AP59" s="9"/>
      <c r="AQ59" s="9"/>
      <c r="AR59" s="9"/>
      <c r="AS59" s="20"/>
      <c r="AT59" s="20"/>
      <c r="AU59" s="20"/>
      <c r="AV59" s="20"/>
      <c r="AW59" s="20"/>
    </row>
    <row r="60" customFormat="false" ht="21.75" hidden="false" customHeight="true" outlineLevel="0" collapsed="false">
      <c r="A60" s="16" t="n">
        <v>57</v>
      </c>
      <c r="B60" s="23" t="s">
        <v>225</v>
      </c>
      <c r="C60" s="18" t="s">
        <v>242</v>
      </c>
      <c r="D60" s="18" t="s">
        <v>175</v>
      </c>
      <c r="E60" s="16" t="s">
        <v>243</v>
      </c>
      <c r="F60" s="19" t="n">
        <v>46204</v>
      </c>
      <c r="G60" s="19" t="n">
        <v>46206</v>
      </c>
      <c r="H60" s="16" t="n">
        <f aca="false">NETWORKDAYS(F60,G60)</f>
        <v>3</v>
      </c>
      <c r="I60" s="18" t="s">
        <v>244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9"/>
      <c r="AQ60" s="9"/>
      <c r="AR60" s="9"/>
      <c r="AS60" s="20"/>
      <c r="AT60" s="20"/>
      <c r="AU60" s="20"/>
      <c r="AV60" s="20"/>
      <c r="AW60" s="20"/>
    </row>
    <row r="61" customFormat="false" ht="21.75" hidden="false" customHeight="true" outlineLevel="0" collapsed="false">
      <c r="A61" s="16" t="n">
        <v>58</v>
      </c>
      <c r="B61" s="23" t="s">
        <v>225</v>
      </c>
      <c r="C61" s="18" t="s">
        <v>178</v>
      </c>
      <c r="D61" s="18" t="s">
        <v>94</v>
      </c>
      <c r="E61" s="16" t="s">
        <v>245</v>
      </c>
      <c r="F61" s="19" t="n">
        <v>46206</v>
      </c>
      <c r="G61" s="19" t="n">
        <v>46206</v>
      </c>
      <c r="H61" s="16" t="n">
        <f aca="false">NETWORKDAYS(F61,G61)</f>
        <v>1</v>
      </c>
      <c r="I61" s="18" t="s">
        <v>180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9"/>
      <c r="AS61" s="20"/>
      <c r="AT61" s="20"/>
      <c r="AU61" s="20"/>
      <c r="AV61" s="20"/>
      <c r="AW61" s="20"/>
    </row>
    <row r="62" customFormat="false" ht="21.75" hidden="false" customHeight="true" outlineLevel="0" collapsed="false">
      <c r="A62" s="16" t="n">
        <v>59</v>
      </c>
      <c r="B62" s="24" t="s">
        <v>246</v>
      </c>
      <c r="C62" s="18" t="s">
        <v>247</v>
      </c>
      <c r="D62" s="18" t="s">
        <v>183</v>
      </c>
      <c r="E62" s="16" t="s">
        <v>218</v>
      </c>
      <c r="F62" s="19" t="n">
        <v>46199</v>
      </c>
      <c r="G62" s="19" t="n">
        <v>46206</v>
      </c>
      <c r="H62" s="16" t="n">
        <f aca="false">NETWORKDAYS(F62,G62)</f>
        <v>6</v>
      </c>
      <c r="I62" s="18" t="s">
        <v>184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10"/>
      <c r="AN62" s="10"/>
      <c r="AO62" s="10"/>
      <c r="AP62" s="10"/>
      <c r="AQ62" s="10"/>
      <c r="AR62" s="10"/>
      <c r="AS62" s="20"/>
      <c r="AT62" s="20"/>
      <c r="AU62" s="20"/>
      <c r="AV62" s="20"/>
      <c r="AW62" s="20"/>
    </row>
    <row r="63" customFormat="false" ht="21.75" hidden="false" customHeight="true" outlineLevel="0" collapsed="false">
      <c r="A63" s="16" t="n">
        <v>60</v>
      </c>
      <c r="B63" s="24" t="s">
        <v>246</v>
      </c>
      <c r="C63" s="18" t="s">
        <v>248</v>
      </c>
      <c r="D63" s="18" t="s">
        <v>249</v>
      </c>
      <c r="E63" s="16" t="s">
        <v>250</v>
      </c>
      <c r="F63" s="19" t="n">
        <v>46209</v>
      </c>
      <c r="G63" s="19" t="n">
        <v>46211</v>
      </c>
      <c r="H63" s="16" t="n">
        <f aca="false">NETWORKDAYS(F63,G63)</f>
        <v>3</v>
      </c>
      <c r="I63" s="18" t="s">
        <v>188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10"/>
      <c r="AT63" s="10"/>
      <c r="AU63" s="10"/>
      <c r="AV63" s="20"/>
      <c r="AW63" s="20"/>
    </row>
    <row r="64" customFormat="false" ht="21.75" hidden="false" customHeight="true" outlineLevel="0" collapsed="false">
      <c r="A64" s="16" t="n">
        <v>61</v>
      </c>
      <c r="B64" s="24" t="s">
        <v>246</v>
      </c>
      <c r="C64" s="18" t="s">
        <v>251</v>
      </c>
      <c r="D64" s="18" t="s">
        <v>175</v>
      </c>
      <c r="E64" s="16" t="s">
        <v>252</v>
      </c>
      <c r="F64" s="19" t="n">
        <v>46210</v>
      </c>
      <c r="G64" s="19" t="n">
        <v>46212</v>
      </c>
      <c r="H64" s="16" t="n">
        <f aca="false">NETWORKDAYS(F64,G64)</f>
        <v>3</v>
      </c>
      <c r="I64" s="18" t="s">
        <v>193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10"/>
      <c r="AU64" s="10"/>
      <c r="AV64" s="10"/>
      <c r="AW64" s="20"/>
    </row>
    <row r="65" customFormat="false" ht="21.75" hidden="false" customHeight="true" outlineLevel="0" collapsed="false">
      <c r="A65" s="16" t="n">
        <v>62</v>
      </c>
      <c r="B65" s="24" t="s">
        <v>246</v>
      </c>
      <c r="C65" s="18" t="s">
        <v>253</v>
      </c>
      <c r="D65" s="18" t="s">
        <v>195</v>
      </c>
      <c r="E65" s="16" t="s">
        <v>254</v>
      </c>
      <c r="F65" s="19" t="n">
        <v>46211</v>
      </c>
      <c r="G65" s="19" t="n">
        <v>46213</v>
      </c>
      <c r="H65" s="16" t="n">
        <f aca="false">NETWORKDAYS(F65,G65)</f>
        <v>3</v>
      </c>
      <c r="I65" s="18" t="s">
        <v>255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10"/>
      <c r="AV65" s="10"/>
      <c r="AW65" s="10"/>
    </row>
    <row r="66" customFormat="false" ht="21.75" hidden="false" customHeight="true" outlineLevel="0" collapsed="false">
      <c r="A66" s="16" t="n">
        <v>63</v>
      </c>
      <c r="B66" s="24" t="s">
        <v>246</v>
      </c>
      <c r="C66" s="18" t="s">
        <v>256</v>
      </c>
      <c r="D66" s="18" t="s">
        <v>257</v>
      </c>
      <c r="E66" s="16" t="s">
        <v>258</v>
      </c>
      <c r="F66" s="19" t="n">
        <v>46213</v>
      </c>
      <c r="G66" s="19" t="n">
        <v>46213</v>
      </c>
      <c r="H66" s="16" t="n">
        <f aca="false">NETWORKDAYS(F66,G66)</f>
        <v>1</v>
      </c>
      <c r="I66" s="18" t="s">
        <v>259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10"/>
    </row>
    <row r="67" customFormat="false" ht="21.75" hidden="false" customHeight="true" outlineLevel="0" collapsed="false">
      <c r="A67" s="16" t="n">
        <v>64</v>
      </c>
      <c r="B67" s="24" t="s">
        <v>260</v>
      </c>
      <c r="C67" s="18" t="s">
        <v>261</v>
      </c>
      <c r="D67" s="18" t="s">
        <v>82</v>
      </c>
      <c r="E67" s="16" t="s">
        <v>258</v>
      </c>
      <c r="F67" s="19" t="n">
        <v>46211</v>
      </c>
      <c r="G67" s="19" t="n">
        <v>46213</v>
      </c>
      <c r="H67" s="16" t="n">
        <f aca="false">NETWORKDAYS(F67,G67)</f>
        <v>3</v>
      </c>
      <c r="I67" s="18" t="s">
        <v>262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10"/>
      <c r="AV67" s="10"/>
      <c r="AW67" s="10"/>
    </row>
    <row r="68" customFormat="false" ht="21.75" hidden="false" customHeight="true" outlineLevel="0" collapsed="false">
      <c r="A68" s="16" t="n">
        <v>65</v>
      </c>
      <c r="B68" s="24" t="s">
        <v>260</v>
      </c>
      <c r="C68" s="18" t="s">
        <v>263</v>
      </c>
      <c r="D68" s="18" t="s">
        <v>264</v>
      </c>
      <c r="E68" s="16" t="s">
        <v>265</v>
      </c>
      <c r="F68" s="19" t="n">
        <v>46213</v>
      </c>
      <c r="G68" s="19" t="n">
        <v>46213</v>
      </c>
      <c r="H68" s="16" t="n">
        <f aca="false">NETWORKDAYS(F68,G68)</f>
        <v>1</v>
      </c>
      <c r="I68" s="18" t="s">
        <v>266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10"/>
    </row>
    <row r="69" customFormat="false" ht="21.75" hidden="false" customHeight="true" outlineLevel="0" collapsed="false">
      <c r="A69" s="16" t="n">
        <v>66</v>
      </c>
      <c r="B69" s="24" t="s">
        <v>260</v>
      </c>
      <c r="C69" s="18" t="s">
        <v>267</v>
      </c>
      <c r="D69" s="18" t="s">
        <v>268</v>
      </c>
      <c r="E69" s="16" t="s">
        <v>269</v>
      </c>
      <c r="F69" s="19" t="n">
        <v>46213</v>
      </c>
      <c r="G69" s="19" t="n">
        <v>46213</v>
      </c>
      <c r="H69" s="16" t="n">
        <f aca="false">NETWORKDAYS(F69,G69)</f>
        <v>1</v>
      </c>
      <c r="I69" s="18" t="s">
        <v>270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10"/>
    </row>
    <row r="70" customFormat="false" ht="15" hidden="false" customHeight="false" outlineLevel="0" collapsed="false">
      <c r="C70" s="25" t="s">
        <v>271</v>
      </c>
      <c r="H70" s="26" t="n">
        <f aca="false">SUM(H4:H69)</f>
        <v>228</v>
      </c>
    </row>
  </sheetData>
  <mergeCells count="17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N2"/>
    <mergeCell ref="O2:S2"/>
    <mergeCell ref="T2:X2"/>
    <mergeCell ref="Y2:AC2"/>
    <mergeCell ref="AD2:AH2"/>
    <mergeCell ref="AI2:AM2"/>
    <mergeCell ref="AN2:AR2"/>
    <mergeCell ref="AS2:A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8"/>
    <col collapsed="false" customWidth="true" hidden="false" outlineLevel="0" max="5" min="5" style="0" width="70"/>
  </cols>
  <sheetData>
    <row r="1" customFormat="false" ht="25.5" hidden="false" customHeight="true" outlineLevel="0" collapsed="false">
      <c r="A1" s="27" t="s">
        <v>272</v>
      </c>
      <c r="B1" s="27" t="s">
        <v>273</v>
      </c>
      <c r="C1" s="27" t="s">
        <v>274</v>
      </c>
      <c r="D1" s="27" t="s">
        <v>275</v>
      </c>
      <c r="E1" s="27" t="s">
        <v>276</v>
      </c>
    </row>
    <row r="2" customFormat="false" ht="30" hidden="false" customHeight="true" outlineLevel="0" collapsed="false">
      <c r="A2" s="28" t="n">
        <v>1</v>
      </c>
      <c r="B2" s="29" t="s">
        <v>277</v>
      </c>
      <c r="C2" s="28" t="s">
        <v>278</v>
      </c>
      <c r="D2" s="28" t="n">
        <v>1</v>
      </c>
      <c r="E2" s="29" t="s">
        <v>279</v>
      </c>
    </row>
    <row r="3" customFormat="false" ht="30" hidden="false" customHeight="true" outlineLevel="0" collapsed="false">
      <c r="A3" s="30" t="n">
        <v>2</v>
      </c>
      <c r="B3" s="7" t="s">
        <v>280</v>
      </c>
      <c r="C3" s="30" t="s">
        <v>281</v>
      </c>
      <c r="D3" s="30" t="n">
        <v>1</v>
      </c>
      <c r="E3" s="7" t="s">
        <v>282</v>
      </c>
    </row>
    <row r="4" customFormat="false" ht="30" hidden="false" customHeight="true" outlineLevel="0" collapsed="false">
      <c r="A4" s="28" t="n">
        <v>3</v>
      </c>
      <c r="B4" s="29" t="s">
        <v>283</v>
      </c>
      <c r="C4" s="28" t="s">
        <v>281</v>
      </c>
      <c r="D4" s="28" t="n">
        <v>3</v>
      </c>
      <c r="E4" s="29" t="s">
        <v>284</v>
      </c>
    </row>
    <row r="5" customFormat="false" ht="30" hidden="false" customHeight="true" outlineLevel="0" collapsed="false">
      <c r="A5" s="30" t="n">
        <v>4</v>
      </c>
      <c r="B5" s="7" t="s">
        <v>285</v>
      </c>
      <c r="C5" s="30" t="s">
        <v>286</v>
      </c>
      <c r="D5" s="30" t="n">
        <v>1</v>
      </c>
      <c r="E5" s="7" t="s">
        <v>287</v>
      </c>
    </row>
    <row r="6" customFormat="false" ht="30" hidden="false" customHeight="true" outlineLevel="0" collapsed="false">
      <c r="A6" s="28" t="n">
        <v>5</v>
      </c>
      <c r="B6" s="29" t="s">
        <v>288</v>
      </c>
      <c r="C6" s="28" t="s">
        <v>289</v>
      </c>
      <c r="D6" s="28" t="n">
        <v>1</v>
      </c>
      <c r="E6" s="29" t="s">
        <v>290</v>
      </c>
    </row>
    <row r="7" customFormat="false" ht="30" hidden="false" customHeight="true" outlineLevel="0" collapsed="false">
      <c r="A7" s="30" t="n">
        <v>6</v>
      </c>
      <c r="B7" s="7" t="s">
        <v>291</v>
      </c>
      <c r="C7" s="30" t="s">
        <v>289</v>
      </c>
      <c r="D7" s="30" t="n">
        <v>1</v>
      </c>
      <c r="E7" s="7" t="s">
        <v>292</v>
      </c>
    </row>
    <row r="8" customFormat="false" ht="30" hidden="false" customHeight="true" outlineLevel="0" collapsed="false">
      <c r="A8" s="28" t="n">
        <v>7</v>
      </c>
      <c r="B8" s="29" t="s">
        <v>293</v>
      </c>
      <c r="C8" s="28" t="s">
        <v>294</v>
      </c>
      <c r="D8" s="28" t="n">
        <v>4</v>
      </c>
      <c r="E8" s="29" t="s">
        <v>295</v>
      </c>
    </row>
    <row r="9" customFormat="false" ht="30" hidden="false" customHeight="true" outlineLevel="0" collapsed="false">
      <c r="A9" s="30" t="n">
        <v>8</v>
      </c>
      <c r="B9" s="7" t="s">
        <v>296</v>
      </c>
      <c r="C9" s="30" t="s">
        <v>294</v>
      </c>
      <c r="D9" s="30" t="n">
        <v>2</v>
      </c>
      <c r="E9" s="7" t="s">
        <v>297</v>
      </c>
    </row>
    <row r="10" customFormat="false" ht="30" hidden="false" customHeight="true" outlineLevel="0" collapsed="false">
      <c r="A10" s="28" t="n">
        <v>9</v>
      </c>
      <c r="B10" s="29" t="s">
        <v>298</v>
      </c>
      <c r="C10" s="28" t="s">
        <v>294</v>
      </c>
      <c r="D10" s="28" t="n">
        <v>1</v>
      </c>
      <c r="E10" s="29" t="s">
        <v>299</v>
      </c>
    </row>
    <row r="11" customFormat="false" ht="30" hidden="false" customHeight="true" outlineLevel="0" collapsed="false">
      <c r="A11" s="30" t="n">
        <v>10</v>
      </c>
      <c r="B11" s="7" t="s">
        <v>300</v>
      </c>
      <c r="C11" s="30" t="s">
        <v>301</v>
      </c>
      <c r="D11" s="30" t="n">
        <v>1</v>
      </c>
      <c r="E11" s="7" t="s">
        <v>302</v>
      </c>
    </row>
    <row r="12" customFormat="false" ht="30" hidden="false" customHeight="true" outlineLevel="0" collapsed="false">
      <c r="A12" s="28" t="n">
        <v>11</v>
      </c>
      <c r="B12" s="29" t="s">
        <v>303</v>
      </c>
      <c r="C12" s="28" t="s">
        <v>304</v>
      </c>
      <c r="D12" s="28" t="n">
        <v>1</v>
      </c>
      <c r="E12" s="29" t="s">
        <v>305</v>
      </c>
    </row>
    <row r="13" customFormat="false" ht="30" hidden="false" customHeight="true" outlineLevel="0" collapsed="false">
      <c r="A13" s="30" t="n">
        <v>12</v>
      </c>
      <c r="B13" s="7" t="s">
        <v>306</v>
      </c>
      <c r="C13" s="30" t="s">
        <v>304</v>
      </c>
      <c r="D13" s="30" t="n">
        <v>2</v>
      </c>
      <c r="E13" s="7" t="s">
        <v>307</v>
      </c>
    </row>
    <row r="14" customFormat="false" ht="30" hidden="false" customHeight="true" outlineLevel="0" collapsed="false">
      <c r="A14" s="28" t="n">
        <v>13</v>
      </c>
      <c r="B14" s="29" t="s">
        <v>308</v>
      </c>
      <c r="C14" s="28" t="s">
        <v>278</v>
      </c>
      <c r="D14" s="28" t="n">
        <v>1</v>
      </c>
      <c r="E14" s="29" t="s">
        <v>309</v>
      </c>
    </row>
    <row r="15" customFormat="false" ht="15" hidden="false" customHeight="false" outlineLevel="0" collapsed="false">
      <c r="C15" s="31" t="s">
        <v>310</v>
      </c>
      <c r="D15" s="32" t="n">
        <f aca="false">SUM(D2:D14)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32"/>
  </cols>
  <sheetData>
    <row r="1" customFormat="false" ht="25.5" hidden="false" customHeight="true" outlineLevel="0" collapsed="false">
      <c r="A1" s="27" t="s">
        <v>272</v>
      </c>
      <c r="B1" s="27" t="s">
        <v>311</v>
      </c>
      <c r="C1" s="27" t="s">
        <v>312</v>
      </c>
      <c r="D1" s="27" t="s">
        <v>313</v>
      </c>
      <c r="E1" s="27" t="s">
        <v>314</v>
      </c>
    </row>
    <row r="2" customFormat="false" ht="27.75" hidden="false" customHeight="true" outlineLevel="0" collapsed="false">
      <c r="A2" s="30" t="n">
        <v>1</v>
      </c>
      <c r="B2" s="33" t="s">
        <v>315</v>
      </c>
      <c r="C2" s="34" t="n">
        <v>46160</v>
      </c>
      <c r="D2" s="7" t="s">
        <v>316</v>
      </c>
      <c r="E2" s="7" t="s">
        <v>317</v>
      </c>
    </row>
    <row r="3" customFormat="false" ht="27.75" hidden="false" customHeight="true" outlineLevel="0" collapsed="false">
      <c r="A3" s="30" t="n">
        <v>2</v>
      </c>
      <c r="B3" s="33" t="s">
        <v>318</v>
      </c>
      <c r="C3" s="34" t="n">
        <v>46171</v>
      </c>
      <c r="D3" s="7" t="s">
        <v>319</v>
      </c>
      <c r="E3" s="7" t="s">
        <v>320</v>
      </c>
    </row>
    <row r="4" customFormat="false" ht="27.75" hidden="false" customHeight="true" outlineLevel="0" collapsed="false">
      <c r="A4" s="30" t="n">
        <v>3</v>
      </c>
      <c r="B4" s="33" t="s">
        <v>321</v>
      </c>
      <c r="C4" s="34" t="n">
        <v>46178</v>
      </c>
      <c r="D4" s="7" t="s">
        <v>322</v>
      </c>
      <c r="E4" s="7" t="s">
        <v>323</v>
      </c>
    </row>
    <row r="5" customFormat="false" ht="27.75" hidden="false" customHeight="true" outlineLevel="0" collapsed="false">
      <c r="A5" s="30" t="n">
        <v>4</v>
      </c>
      <c r="B5" s="33" t="s">
        <v>324</v>
      </c>
      <c r="C5" s="34" t="n">
        <v>46185</v>
      </c>
      <c r="D5" s="7" t="s">
        <v>325</v>
      </c>
      <c r="E5" s="7" t="s">
        <v>326</v>
      </c>
    </row>
    <row r="6" customFormat="false" ht="27.75" hidden="false" customHeight="true" outlineLevel="0" collapsed="false">
      <c r="A6" s="30" t="n">
        <v>5</v>
      </c>
      <c r="B6" s="33" t="s">
        <v>327</v>
      </c>
      <c r="C6" s="34" t="n">
        <v>46195</v>
      </c>
      <c r="D6" s="7" t="s">
        <v>328</v>
      </c>
      <c r="E6" s="7" t="s">
        <v>329</v>
      </c>
    </row>
    <row r="7" customFormat="false" ht="27.75" hidden="false" customHeight="true" outlineLevel="0" collapsed="false">
      <c r="A7" s="30" t="n">
        <v>6</v>
      </c>
      <c r="B7" s="33" t="s">
        <v>330</v>
      </c>
      <c r="C7" s="34" t="n">
        <v>46206</v>
      </c>
      <c r="D7" s="7" t="s">
        <v>331</v>
      </c>
      <c r="E7" s="7" t="s">
        <v>332</v>
      </c>
    </row>
    <row r="8" customFormat="false" ht="27.75" hidden="false" customHeight="true" outlineLevel="0" collapsed="false">
      <c r="A8" s="30" t="n">
        <v>7</v>
      </c>
      <c r="B8" s="33" t="s">
        <v>333</v>
      </c>
      <c r="C8" s="34" t="n">
        <v>46213</v>
      </c>
      <c r="D8" s="7" t="s">
        <v>334</v>
      </c>
      <c r="E8" s="7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4"/>
  </cols>
  <sheetData>
    <row r="1" customFormat="false" ht="30" hidden="false" customHeight="true" outlineLevel="0" collapsed="false">
      <c r="A1" s="27" t="s">
        <v>336</v>
      </c>
      <c r="B1" s="35" t="s">
        <v>78</v>
      </c>
      <c r="C1" s="35" t="s">
        <v>205</v>
      </c>
      <c r="D1" s="35" t="s">
        <v>337</v>
      </c>
      <c r="E1" s="35" t="s">
        <v>101</v>
      </c>
      <c r="F1" s="35" t="s">
        <v>338</v>
      </c>
      <c r="G1" s="35" t="s">
        <v>146</v>
      </c>
      <c r="H1" s="35" t="s">
        <v>158</v>
      </c>
      <c r="I1" s="35" t="s">
        <v>303</v>
      </c>
      <c r="J1" s="35" t="s">
        <v>339</v>
      </c>
      <c r="K1" s="35" t="s">
        <v>85</v>
      </c>
      <c r="L1" s="35" t="s">
        <v>340</v>
      </c>
    </row>
    <row r="2" customFormat="false" ht="24" hidden="false" customHeight="true" outlineLevel="0" collapsed="false">
      <c r="A2" s="36" t="s">
        <v>341</v>
      </c>
      <c r="B2" s="37" t="s">
        <v>342</v>
      </c>
      <c r="C2" s="38" t="s">
        <v>343</v>
      </c>
      <c r="D2" s="39" t="s">
        <v>344</v>
      </c>
      <c r="E2" s="38" t="s">
        <v>343</v>
      </c>
      <c r="F2" s="40" t="s">
        <v>345</v>
      </c>
      <c r="G2" s="40" t="s">
        <v>345</v>
      </c>
      <c r="H2" s="40" t="s">
        <v>345</v>
      </c>
      <c r="I2" s="39" t="s">
        <v>344</v>
      </c>
      <c r="J2" s="40" t="s">
        <v>345</v>
      </c>
      <c r="K2" s="40" t="s">
        <v>345</v>
      </c>
      <c r="L2" s="38" t="s">
        <v>343</v>
      </c>
    </row>
    <row r="3" customFormat="false" ht="24" hidden="false" customHeight="true" outlineLevel="0" collapsed="false">
      <c r="A3" s="41" t="s">
        <v>346</v>
      </c>
      <c r="B3" s="37" t="s">
        <v>342</v>
      </c>
      <c r="C3" s="38" t="s">
        <v>343</v>
      </c>
      <c r="D3" s="38" t="s">
        <v>343</v>
      </c>
      <c r="E3" s="39" t="s">
        <v>344</v>
      </c>
      <c r="F3" s="40" t="s">
        <v>345</v>
      </c>
      <c r="G3" s="39" t="s">
        <v>344</v>
      </c>
      <c r="H3" s="40" t="s">
        <v>345</v>
      </c>
      <c r="I3" s="39" t="s">
        <v>344</v>
      </c>
      <c r="J3" s="40" t="s">
        <v>345</v>
      </c>
      <c r="K3" s="40" t="s">
        <v>345</v>
      </c>
      <c r="L3" s="39" t="s">
        <v>344</v>
      </c>
    </row>
    <row r="4" customFormat="false" ht="24" hidden="false" customHeight="true" outlineLevel="0" collapsed="false">
      <c r="A4" s="36" t="s">
        <v>347</v>
      </c>
      <c r="B4" s="37" t="s">
        <v>342</v>
      </c>
      <c r="C4" s="38" t="s">
        <v>343</v>
      </c>
      <c r="D4" s="38" t="s">
        <v>343</v>
      </c>
      <c r="E4" s="39" t="s">
        <v>344</v>
      </c>
      <c r="F4" s="40" t="s">
        <v>345</v>
      </c>
      <c r="G4" s="40" t="s">
        <v>345</v>
      </c>
      <c r="H4" s="39" t="s">
        <v>344</v>
      </c>
      <c r="I4" s="40" t="s">
        <v>345</v>
      </c>
      <c r="J4" s="40" t="s">
        <v>345</v>
      </c>
      <c r="K4" s="40" t="s">
        <v>345</v>
      </c>
      <c r="L4" s="38" t="s">
        <v>343</v>
      </c>
    </row>
    <row r="5" customFormat="false" ht="24" hidden="false" customHeight="true" outlineLevel="0" collapsed="false">
      <c r="A5" s="41" t="s">
        <v>348</v>
      </c>
      <c r="B5" s="37" t="s">
        <v>342</v>
      </c>
      <c r="C5" s="39" t="s">
        <v>344</v>
      </c>
      <c r="D5" s="39" t="s">
        <v>344</v>
      </c>
      <c r="E5" s="38" t="s">
        <v>343</v>
      </c>
      <c r="F5" s="38" t="s">
        <v>343</v>
      </c>
      <c r="G5" s="38" t="s">
        <v>343</v>
      </c>
      <c r="H5" s="38" t="s">
        <v>343</v>
      </c>
      <c r="I5" s="39" t="s">
        <v>344</v>
      </c>
      <c r="J5" s="40" t="s">
        <v>345</v>
      </c>
      <c r="K5" s="39" t="s">
        <v>344</v>
      </c>
      <c r="L5" s="40" t="s">
        <v>345</v>
      </c>
    </row>
    <row r="6" customFormat="false" ht="24" hidden="false" customHeight="true" outlineLevel="0" collapsed="false">
      <c r="A6" s="36" t="s">
        <v>349</v>
      </c>
      <c r="B6" s="37" t="s">
        <v>342</v>
      </c>
      <c r="C6" s="40" t="s">
        <v>345</v>
      </c>
      <c r="D6" s="40" t="s">
        <v>345</v>
      </c>
      <c r="E6" s="38" t="s">
        <v>343</v>
      </c>
      <c r="F6" s="39" t="s">
        <v>344</v>
      </c>
      <c r="G6" s="40" t="s">
        <v>345</v>
      </c>
      <c r="H6" s="38" t="s">
        <v>343</v>
      </c>
      <c r="I6" s="39" t="s">
        <v>344</v>
      </c>
      <c r="J6" s="40" t="s">
        <v>345</v>
      </c>
      <c r="K6" s="39" t="s">
        <v>344</v>
      </c>
      <c r="L6" s="40" t="s">
        <v>345</v>
      </c>
    </row>
    <row r="7" customFormat="false" ht="24" hidden="false" customHeight="true" outlineLevel="0" collapsed="false">
      <c r="A7" s="41" t="s">
        <v>350</v>
      </c>
      <c r="B7" s="37" t="s">
        <v>342</v>
      </c>
      <c r="C7" s="40" t="s">
        <v>345</v>
      </c>
      <c r="D7" s="39" t="s">
        <v>344</v>
      </c>
      <c r="E7" s="38" t="s">
        <v>343</v>
      </c>
      <c r="F7" s="38" t="s">
        <v>343</v>
      </c>
      <c r="G7" s="39" t="s">
        <v>344</v>
      </c>
      <c r="H7" s="39" t="s">
        <v>344</v>
      </c>
      <c r="I7" s="40" t="s">
        <v>345</v>
      </c>
      <c r="J7" s="40" t="s">
        <v>345</v>
      </c>
      <c r="K7" s="39" t="s">
        <v>344</v>
      </c>
      <c r="L7" s="40" t="s">
        <v>345</v>
      </c>
    </row>
    <row r="8" customFormat="false" ht="24" hidden="false" customHeight="true" outlineLevel="0" collapsed="false">
      <c r="A8" s="36" t="s">
        <v>351</v>
      </c>
      <c r="B8" s="40" t="s">
        <v>345</v>
      </c>
      <c r="C8" s="40" t="s">
        <v>345</v>
      </c>
      <c r="D8" s="40" t="s">
        <v>345</v>
      </c>
      <c r="E8" s="38" t="s">
        <v>343</v>
      </c>
      <c r="F8" s="38" t="s">
        <v>343</v>
      </c>
      <c r="G8" s="40" t="s">
        <v>345</v>
      </c>
      <c r="H8" s="40" t="s">
        <v>345</v>
      </c>
      <c r="I8" s="40" t="s">
        <v>345</v>
      </c>
      <c r="J8" s="40" t="s">
        <v>345</v>
      </c>
      <c r="K8" s="39" t="s">
        <v>344</v>
      </c>
      <c r="L8" s="40" t="s">
        <v>345</v>
      </c>
    </row>
    <row r="9" customFormat="false" ht="24" hidden="false" customHeight="true" outlineLevel="0" collapsed="false">
      <c r="A9" s="41" t="s">
        <v>352</v>
      </c>
      <c r="B9" s="40" t="s">
        <v>345</v>
      </c>
      <c r="C9" s="40" t="s">
        <v>345</v>
      </c>
      <c r="D9" s="40" t="s">
        <v>345</v>
      </c>
      <c r="E9" s="39" t="s">
        <v>344</v>
      </c>
      <c r="F9" s="38" t="s">
        <v>343</v>
      </c>
      <c r="G9" s="40" t="s">
        <v>345</v>
      </c>
      <c r="H9" s="40" t="s">
        <v>345</v>
      </c>
      <c r="I9" s="39" t="s">
        <v>344</v>
      </c>
      <c r="J9" s="40" t="s">
        <v>345</v>
      </c>
      <c r="K9" s="40" t="s">
        <v>345</v>
      </c>
      <c r="L9" s="40" t="s">
        <v>345</v>
      </c>
    </row>
    <row r="10" customFormat="false" ht="24" hidden="false" customHeight="true" outlineLevel="0" collapsed="false">
      <c r="A10" s="36" t="s">
        <v>353</v>
      </c>
      <c r="B10" s="37" t="s">
        <v>342</v>
      </c>
      <c r="C10" s="39" t="s">
        <v>344</v>
      </c>
      <c r="D10" s="39" t="s">
        <v>344</v>
      </c>
      <c r="E10" s="39" t="s">
        <v>344</v>
      </c>
      <c r="F10" s="39" t="s">
        <v>344</v>
      </c>
      <c r="G10" s="40" t="s">
        <v>345</v>
      </c>
      <c r="H10" s="40" t="s">
        <v>345</v>
      </c>
      <c r="I10" s="38" t="s">
        <v>343</v>
      </c>
      <c r="J10" s="38" t="s">
        <v>343</v>
      </c>
      <c r="K10" s="39" t="s">
        <v>344</v>
      </c>
      <c r="L10" s="40" t="s">
        <v>345</v>
      </c>
    </row>
    <row r="11" customFormat="false" ht="24" hidden="false" customHeight="true" outlineLevel="0" collapsed="false">
      <c r="A11" s="41" t="s">
        <v>354</v>
      </c>
      <c r="B11" s="37" t="s">
        <v>342</v>
      </c>
      <c r="C11" s="38" t="s">
        <v>343</v>
      </c>
      <c r="D11" s="38" t="s">
        <v>343</v>
      </c>
      <c r="E11" s="39" t="s">
        <v>344</v>
      </c>
      <c r="F11" s="40" t="s">
        <v>345</v>
      </c>
      <c r="G11" s="40" t="s">
        <v>345</v>
      </c>
      <c r="H11" s="40" t="s">
        <v>345</v>
      </c>
      <c r="I11" s="38" t="s">
        <v>343</v>
      </c>
      <c r="J11" s="39" t="s">
        <v>344</v>
      </c>
      <c r="K11" s="40" t="s">
        <v>345</v>
      </c>
      <c r="L11" s="38" t="s">
        <v>343</v>
      </c>
    </row>
    <row r="12" customFormat="false" ht="24" hidden="false" customHeight="true" outlineLevel="0" collapsed="false">
      <c r="A12" s="36" t="s">
        <v>355</v>
      </c>
      <c r="B12" s="37" t="s">
        <v>342</v>
      </c>
      <c r="C12" s="40" t="s">
        <v>345</v>
      </c>
      <c r="D12" s="39" t="s">
        <v>344</v>
      </c>
      <c r="E12" s="38" t="s">
        <v>343</v>
      </c>
      <c r="F12" s="38" t="s">
        <v>343</v>
      </c>
      <c r="G12" s="40" t="s">
        <v>345</v>
      </c>
      <c r="H12" s="40" t="s">
        <v>345</v>
      </c>
      <c r="I12" s="39" t="s">
        <v>344</v>
      </c>
      <c r="J12" s="39" t="s">
        <v>344</v>
      </c>
      <c r="K12" s="39" t="s">
        <v>344</v>
      </c>
      <c r="L12" s="40" t="s">
        <v>345</v>
      </c>
    </row>
    <row r="13" customFormat="false" ht="24" hidden="false" customHeight="true" outlineLevel="0" collapsed="false">
      <c r="A13" s="41" t="s">
        <v>356</v>
      </c>
      <c r="B13" s="37" t="s">
        <v>342</v>
      </c>
      <c r="C13" s="39" t="s">
        <v>344</v>
      </c>
      <c r="D13" s="40" t="s">
        <v>345</v>
      </c>
      <c r="E13" s="38" t="s">
        <v>343</v>
      </c>
      <c r="F13" s="39" t="s">
        <v>344</v>
      </c>
      <c r="G13" s="40" t="s">
        <v>345</v>
      </c>
      <c r="H13" s="39" t="s">
        <v>344</v>
      </c>
      <c r="I13" s="39" t="s">
        <v>344</v>
      </c>
      <c r="J13" s="40" t="s">
        <v>345</v>
      </c>
      <c r="K13" s="39" t="s">
        <v>344</v>
      </c>
      <c r="L13" s="39" t="s">
        <v>344</v>
      </c>
    </row>
    <row r="14" customFormat="false" ht="24" hidden="false" customHeight="true" outlineLevel="0" collapsed="false">
      <c r="A14" s="36" t="s">
        <v>357</v>
      </c>
      <c r="B14" s="37" t="s">
        <v>342</v>
      </c>
      <c r="C14" s="40" t="s">
        <v>345</v>
      </c>
      <c r="D14" s="40" t="s">
        <v>345</v>
      </c>
      <c r="E14" s="38" t="s">
        <v>343</v>
      </c>
      <c r="F14" s="39" t="s">
        <v>344</v>
      </c>
      <c r="G14" s="40" t="s">
        <v>345</v>
      </c>
      <c r="H14" s="39" t="s">
        <v>344</v>
      </c>
      <c r="I14" s="39" t="s">
        <v>344</v>
      </c>
      <c r="J14" s="40" t="s">
        <v>345</v>
      </c>
      <c r="K14" s="38" t="s">
        <v>343</v>
      </c>
      <c r="L14" s="40" t="s">
        <v>345</v>
      </c>
    </row>
    <row r="15" customFormat="false" ht="24" hidden="false" customHeight="true" outlineLevel="0" collapsed="false">
      <c r="A15" s="41" t="s">
        <v>358</v>
      </c>
      <c r="B15" s="37" t="s">
        <v>342</v>
      </c>
      <c r="C15" s="39" t="s">
        <v>344</v>
      </c>
      <c r="D15" s="39" t="s">
        <v>344</v>
      </c>
      <c r="E15" s="38" t="s">
        <v>343</v>
      </c>
      <c r="F15" s="40" t="s">
        <v>345</v>
      </c>
      <c r="G15" s="40" t="s">
        <v>345</v>
      </c>
      <c r="H15" s="40" t="s">
        <v>345</v>
      </c>
      <c r="I15" s="38" t="s">
        <v>343</v>
      </c>
      <c r="J15" s="40" t="s">
        <v>345</v>
      </c>
      <c r="K15" s="38" t="s">
        <v>343</v>
      </c>
      <c r="L15" s="38" t="s">
        <v>343</v>
      </c>
    </row>
    <row r="16" customFormat="false" ht="24" hidden="false" customHeight="true" outlineLevel="0" collapsed="false">
      <c r="A16" s="36" t="s">
        <v>359</v>
      </c>
      <c r="B16" s="37" t="s">
        <v>342</v>
      </c>
      <c r="C16" s="39" t="s">
        <v>344</v>
      </c>
      <c r="D16" s="39" t="s">
        <v>344</v>
      </c>
      <c r="E16" s="38" t="s">
        <v>343</v>
      </c>
      <c r="F16" s="38" t="s">
        <v>343</v>
      </c>
      <c r="G16" s="40" t="s">
        <v>345</v>
      </c>
      <c r="H16" s="39" t="s">
        <v>344</v>
      </c>
      <c r="I16" s="38" t="s">
        <v>343</v>
      </c>
      <c r="J16" s="38" t="s">
        <v>343</v>
      </c>
      <c r="K16" s="38" t="s">
        <v>343</v>
      </c>
      <c r="L16" s="39" t="s">
        <v>344</v>
      </c>
    </row>
    <row r="19" customFormat="false" ht="15" hidden="false" customHeight="false" outlineLevel="0" collapsed="false">
      <c r="A19" s="42" t="s">
        <v>360</v>
      </c>
    </row>
    <row r="20" customFormat="false" ht="15" hidden="false" customHeight="true" outlineLevel="0" collapsed="false">
      <c r="A20" s="38" t="s">
        <v>343</v>
      </c>
      <c r="B20" s="43" t="s">
        <v>361</v>
      </c>
      <c r="C20" s="43"/>
      <c r="D20" s="43"/>
    </row>
    <row r="21" customFormat="false" ht="28.35" hidden="false" customHeight="true" outlineLevel="0" collapsed="false">
      <c r="A21" s="37" t="s">
        <v>342</v>
      </c>
      <c r="B21" s="43" t="s">
        <v>362</v>
      </c>
      <c r="C21" s="43"/>
      <c r="D21" s="43"/>
    </row>
    <row r="22" customFormat="false" ht="15" hidden="false" customHeight="true" outlineLevel="0" collapsed="false">
      <c r="A22" s="39" t="s">
        <v>344</v>
      </c>
      <c r="B22" s="43" t="s">
        <v>363</v>
      </c>
      <c r="C22" s="43"/>
      <c r="D22" s="43"/>
    </row>
    <row r="23" customFormat="false" ht="15" hidden="false" customHeight="true" outlineLevel="0" collapsed="false">
      <c r="A23" s="40" t="s">
        <v>345</v>
      </c>
      <c r="B23" s="43" t="s">
        <v>364</v>
      </c>
      <c r="C23" s="43"/>
      <c r="D23" s="43"/>
    </row>
  </sheetData>
  <mergeCells count="4"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5" min="3" style="0" width="12"/>
    <col collapsed="false" customWidth="true" hidden="false" outlineLevel="0" max="6" min="6" style="0" width="36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27" t="s">
        <v>272</v>
      </c>
      <c r="B1" s="27" t="s">
        <v>365</v>
      </c>
      <c r="C1" s="27" t="s">
        <v>366</v>
      </c>
      <c r="D1" s="27" t="s">
        <v>367</v>
      </c>
      <c r="E1" s="27" t="s">
        <v>368</v>
      </c>
      <c r="F1" s="27" t="s">
        <v>369</v>
      </c>
      <c r="G1" s="27" t="s">
        <v>30</v>
      </c>
    </row>
    <row r="2" customFormat="false" ht="36" hidden="false" customHeight="true" outlineLevel="0" collapsed="false">
      <c r="A2" s="30" t="n">
        <v>1</v>
      </c>
      <c r="B2" s="7" t="s">
        <v>370</v>
      </c>
      <c r="C2" s="30" t="n">
        <v>4</v>
      </c>
      <c r="D2" s="30" t="n">
        <v>5</v>
      </c>
      <c r="E2" s="30" t="n">
        <f aca="false">C2*D2</f>
        <v>20</v>
      </c>
      <c r="F2" s="7" t="s">
        <v>371</v>
      </c>
      <c r="G2" s="7" t="s">
        <v>372</v>
      </c>
    </row>
    <row r="3" customFormat="false" ht="36" hidden="false" customHeight="true" outlineLevel="0" collapsed="false">
      <c r="A3" s="30" t="n">
        <v>2</v>
      </c>
      <c r="B3" s="7" t="s">
        <v>373</v>
      </c>
      <c r="C3" s="30" t="n">
        <v>3</v>
      </c>
      <c r="D3" s="30" t="n">
        <v>5</v>
      </c>
      <c r="E3" s="30" t="n">
        <f aca="false">C3*D3</f>
        <v>15</v>
      </c>
      <c r="F3" s="7" t="s">
        <v>374</v>
      </c>
      <c r="G3" s="7" t="s">
        <v>375</v>
      </c>
    </row>
    <row r="4" customFormat="false" ht="36" hidden="false" customHeight="true" outlineLevel="0" collapsed="false">
      <c r="A4" s="30" t="n">
        <v>3</v>
      </c>
      <c r="B4" s="7" t="s">
        <v>376</v>
      </c>
      <c r="C4" s="30" t="n">
        <v>3</v>
      </c>
      <c r="D4" s="30" t="n">
        <v>4</v>
      </c>
      <c r="E4" s="30" t="n">
        <f aca="false">C4*D4</f>
        <v>12</v>
      </c>
      <c r="F4" s="7" t="s">
        <v>377</v>
      </c>
      <c r="G4" s="7" t="s">
        <v>101</v>
      </c>
    </row>
    <row r="5" customFormat="false" ht="36" hidden="false" customHeight="true" outlineLevel="0" collapsed="false">
      <c r="A5" s="30" t="n">
        <v>4</v>
      </c>
      <c r="B5" s="7" t="s">
        <v>378</v>
      </c>
      <c r="C5" s="30" t="n">
        <v>4</v>
      </c>
      <c r="D5" s="30" t="n">
        <v>4</v>
      </c>
      <c r="E5" s="30" t="n">
        <f aca="false">C5*D5</f>
        <v>16</v>
      </c>
      <c r="F5" s="7" t="s">
        <v>379</v>
      </c>
      <c r="G5" s="7" t="s">
        <v>380</v>
      </c>
    </row>
    <row r="6" customFormat="false" ht="36" hidden="false" customHeight="true" outlineLevel="0" collapsed="false">
      <c r="A6" s="30" t="n">
        <v>5</v>
      </c>
      <c r="B6" s="7" t="s">
        <v>381</v>
      </c>
      <c r="C6" s="30" t="n">
        <v>4</v>
      </c>
      <c r="D6" s="30" t="n">
        <v>4</v>
      </c>
      <c r="E6" s="30" t="n">
        <f aca="false">C6*D6</f>
        <v>16</v>
      </c>
      <c r="F6" s="7" t="s">
        <v>382</v>
      </c>
      <c r="G6" s="7" t="s">
        <v>101</v>
      </c>
    </row>
    <row r="7" customFormat="false" ht="36" hidden="false" customHeight="true" outlineLevel="0" collapsed="false">
      <c r="A7" s="30" t="n">
        <v>6</v>
      </c>
      <c r="B7" s="7" t="s">
        <v>383</v>
      </c>
      <c r="C7" s="30" t="n">
        <v>3</v>
      </c>
      <c r="D7" s="30" t="n">
        <v>5</v>
      </c>
      <c r="E7" s="30" t="n">
        <f aca="false">C7*D7</f>
        <v>15</v>
      </c>
      <c r="F7" s="7" t="s">
        <v>384</v>
      </c>
      <c r="G7" s="7" t="s">
        <v>385</v>
      </c>
    </row>
    <row r="8" customFormat="false" ht="36" hidden="false" customHeight="true" outlineLevel="0" collapsed="false">
      <c r="A8" s="30" t="n">
        <v>7</v>
      </c>
      <c r="B8" s="7" t="s">
        <v>386</v>
      </c>
      <c r="C8" s="30" t="n">
        <v>3</v>
      </c>
      <c r="D8" s="30" t="n">
        <v>4</v>
      </c>
      <c r="E8" s="30" t="n">
        <f aca="false">C8*D8</f>
        <v>12</v>
      </c>
      <c r="F8" s="7" t="s">
        <v>387</v>
      </c>
      <c r="G8" s="7" t="s">
        <v>388</v>
      </c>
    </row>
    <row r="9" customFormat="false" ht="36" hidden="false" customHeight="true" outlineLevel="0" collapsed="false">
      <c r="A9" s="30" t="n">
        <v>8</v>
      </c>
      <c r="B9" s="7" t="s">
        <v>389</v>
      </c>
      <c r="C9" s="30" t="n">
        <v>3</v>
      </c>
      <c r="D9" s="30" t="n">
        <v>5</v>
      </c>
      <c r="E9" s="30" t="n">
        <f aca="false">C9*D9</f>
        <v>15</v>
      </c>
      <c r="F9" s="7" t="s">
        <v>390</v>
      </c>
      <c r="G9" s="7" t="s">
        <v>150</v>
      </c>
    </row>
    <row r="10" customFormat="false" ht="36" hidden="false" customHeight="true" outlineLevel="0" collapsed="false">
      <c r="A10" s="30" t="n">
        <v>9</v>
      </c>
      <c r="B10" s="7" t="s">
        <v>391</v>
      </c>
      <c r="C10" s="30" t="n">
        <v>2</v>
      </c>
      <c r="D10" s="30" t="n">
        <v>4</v>
      </c>
      <c r="E10" s="30" t="n">
        <f aca="false">C10*D10</f>
        <v>8</v>
      </c>
      <c r="F10" s="7" t="s">
        <v>392</v>
      </c>
      <c r="G10" s="7" t="s">
        <v>78</v>
      </c>
    </row>
    <row r="11" customFormat="false" ht="36" hidden="false" customHeight="true" outlineLevel="0" collapsed="false">
      <c r="A11" s="30" t="n">
        <v>10</v>
      </c>
      <c r="B11" s="7" t="s">
        <v>393</v>
      </c>
      <c r="C11" s="30" t="n">
        <v>2</v>
      </c>
      <c r="D11" s="30" t="n">
        <v>5</v>
      </c>
      <c r="E11" s="30" t="n">
        <f aca="false">C11*D11</f>
        <v>10</v>
      </c>
      <c r="F11" s="7" t="s">
        <v>394</v>
      </c>
      <c r="G11" s="7" t="s">
        <v>82</v>
      </c>
    </row>
  </sheetData>
  <conditionalFormatting sqref="E2:E11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lessThanOrEqual" aboveAverage="0" equalAverage="0" bottom="0" percent="0" rank="0" text="" dxfId="2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2026-05-11T14:23:39Z</dcterms:created>
  <dc:creator>openpyxl</dc:creator>
  <dc:description/>
  <dc:language>en-US</dc:language>
  <cp:lastModifiedBy/>
  <dcterms:modified xsi:type="dcterms:W3CDTF">2026-05-11T14:23:39Z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